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sashaabramsky/Downloads/"/>
    </mc:Choice>
  </mc:AlternateContent>
  <xr:revisionPtr revIDLastSave="0" documentId="13_ncr:1_{07C72698-2B34-FF42-A6C8-A862E12D425F}" xr6:coauthVersionLast="47" xr6:coauthVersionMax="47" xr10:uidLastSave="{00000000-0000-0000-0000-000000000000}"/>
  <bookViews>
    <workbookView xWindow="0" yWindow="740" windowWidth="29400" windowHeight="18380" activeTab="4" xr2:uid="{5D0863C1-07B0-564F-9D73-7DAEE893C5EF}"/>
  </bookViews>
  <sheets>
    <sheet name="Flat Debt Model" sheetId="1" r:id="rId1"/>
    <sheet name="Visuals" sheetId="2" r:id="rId2"/>
    <sheet name="Sculpted Debt" sheetId="3" r:id="rId3"/>
    <sheet name="ITC+MACRS Added" sheetId="4" r:id="rId4"/>
    <sheet name="+PPA End Merchant Price Added" sheetId="5"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7" i="5" l="1"/>
  <c r="C51" i="5"/>
  <c r="C50" i="5"/>
  <c r="C49" i="5"/>
  <c r="C48" i="5"/>
  <c r="C47" i="5"/>
  <c r="B52" i="5"/>
  <c r="C35" i="5"/>
  <c r="C34" i="5"/>
  <c r="B32" i="5"/>
  <c r="B31" i="5"/>
  <c r="C27" i="5"/>
  <c r="C26" i="5"/>
  <c r="D25" i="5"/>
  <c r="C25" i="5"/>
  <c r="F24" i="5"/>
  <c r="E24" i="5"/>
  <c r="D24" i="5"/>
  <c r="C24" i="5"/>
  <c r="B41" i="5"/>
  <c r="B27" i="5"/>
  <c r="L3" i="5"/>
  <c r="B23" i="5"/>
  <c r="D20" i="5"/>
  <c r="K17" i="5"/>
  <c r="D19" i="5"/>
  <c r="C21" i="5"/>
  <c r="C20" i="5"/>
  <c r="C19" i="5"/>
  <c r="C17" i="5"/>
  <c r="D16" i="5"/>
  <c r="B41" i="4" l="1"/>
  <c r="B40" i="4"/>
  <c r="B52" i="4"/>
  <c r="B45" i="4"/>
  <c r="B27" i="4"/>
  <c r="D18" i="5" l="1"/>
  <c r="D15" i="5"/>
  <c r="C18" i="5"/>
  <c r="R46" i="4"/>
  <c r="C52" i="4"/>
  <c r="C51" i="4"/>
  <c r="C50" i="4"/>
  <c r="C49" i="4"/>
  <c r="C48" i="4"/>
  <c r="C47" i="4"/>
  <c r="C34" i="4"/>
  <c r="I27" i="4"/>
  <c r="I26" i="4"/>
  <c r="I25" i="4"/>
  <c r="C27" i="4"/>
  <c r="C26" i="4"/>
  <c r="C25" i="4"/>
  <c r="I24" i="4"/>
  <c r="H24" i="4"/>
  <c r="G24" i="4"/>
  <c r="F24" i="4"/>
  <c r="E24" i="4"/>
  <c r="D24" i="4"/>
  <c r="C24" i="4"/>
  <c r="B23" i="4"/>
  <c r="R47" i="3"/>
  <c r="R43" i="3"/>
  <c r="R45" i="3"/>
  <c r="R44" i="3"/>
  <c r="R42" i="3"/>
  <c r="D42" i="3"/>
  <c r="S42" i="3"/>
  <c r="T42" i="3"/>
  <c r="U42" i="3"/>
  <c r="V42" i="3"/>
  <c r="C42" i="3"/>
  <c r="C43" i="3"/>
  <c r="C45" i="3" s="1"/>
  <c r="B47" i="3"/>
  <c r="C35" i="3"/>
  <c r="C34" i="3"/>
  <c r="D34" i="3"/>
  <c r="C27" i="3"/>
  <c r="C26" i="3"/>
  <c r="C25" i="3"/>
  <c r="C24" i="3"/>
  <c r="D20" i="3"/>
  <c r="D19" i="3"/>
  <c r="D18" i="3"/>
  <c r="D17" i="3"/>
  <c r="D16" i="3"/>
  <c r="C17" i="3"/>
  <c r="B46" i="1"/>
  <c r="C42" i="1"/>
  <c r="C41" i="1"/>
  <c r="C40" i="1"/>
  <c r="C39" i="1"/>
  <c r="C38" i="1"/>
  <c r="B43" i="1"/>
  <c r="B36" i="1"/>
  <c r="B32" i="1"/>
  <c r="D26" i="1"/>
  <c r="C27" i="1"/>
  <c r="C26" i="1"/>
  <c r="C25" i="1"/>
  <c r="C24" i="1"/>
  <c r="B27" i="1"/>
  <c r="B23" i="1"/>
  <c r="D20" i="1"/>
  <c r="D19" i="1"/>
  <c r="D17" i="1"/>
  <c r="C21" i="1"/>
  <c r="C20" i="1"/>
  <c r="C19" i="1"/>
  <c r="C18" i="1"/>
  <c r="C17" i="1"/>
  <c r="B23" i="3"/>
  <c r="D44" i="5"/>
  <c r="E44" i="5" s="1"/>
  <c r="F44" i="5" s="1"/>
  <c r="G44" i="5" s="1"/>
  <c r="H44" i="5" s="1"/>
  <c r="I44" i="5" s="1"/>
  <c r="J44" i="5" s="1"/>
  <c r="K44" i="5" s="1"/>
  <c r="L44" i="5" s="1"/>
  <c r="M44" i="5" s="1"/>
  <c r="N44" i="5" s="1"/>
  <c r="O44" i="5" s="1"/>
  <c r="P44" i="5" s="1"/>
  <c r="Q44" i="5" s="1"/>
  <c r="R44" i="5" s="1"/>
  <c r="S44" i="5" s="1"/>
  <c r="T44" i="5" s="1"/>
  <c r="U44" i="5" s="1"/>
  <c r="V44" i="5" s="1"/>
  <c r="C44" i="5"/>
  <c r="G24" i="5"/>
  <c r="H24" i="5"/>
  <c r="I24" i="5"/>
  <c r="J24" i="5"/>
  <c r="K24" i="5"/>
  <c r="L24" i="5"/>
  <c r="M24" i="5"/>
  <c r="N24" i="5"/>
  <c r="O24" i="5"/>
  <c r="P24" i="5"/>
  <c r="Q24" i="5"/>
  <c r="R24" i="5"/>
  <c r="S24" i="5"/>
  <c r="T24" i="5"/>
  <c r="U24" i="5"/>
  <c r="V24" i="5"/>
  <c r="B40" i="5"/>
  <c r="R18" i="5"/>
  <c r="R19" i="5" s="1"/>
  <c r="S18" i="5"/>
  <c r="S19" i="5" s="1"/>
  <c r="T18" i="5"/>
  <c r="T19" i="5" s="1"/>
  <c r="U18" i="5"/>
  <c r="U19" i="5" s="1"/>
  <c r="V18" i="5"/>
  <c r="V19" i="5" s="1"/>
  <c r="E17" i="5"/>
  <c r="F17" i="5"/>
  <c r="G17" i="5"/>
  <c r="H17" i="5"/>
  <c r="I17" i="5"/>
  <c r="J17" i="5"/>
  <c r="L17" i="5"/>
  <c r="M17" i="5"/>
  <c r="N17" i="5"/>
  <c r="O17" i="5"/>
  <c r="P17" i="5"/>
  <c r="Q17" i="5"/>
  <c r="R17" i="5"/>
  <c r="S17" i="5"/>
  <c r="T17" i="5"/>
  <c r="U17" i="5"/>
  <c r="V17" i="5"/>
  <c r="E20" i="5"/>
  <c r="D17" i="5"/>
  <c r="E16" i="5"/>
  <c r="F16" i="5" s="1"/>
  <c r="G16" i="5" s="1"/>
  <c r="H16" i="5" s="1"/>
  <c r="I16" i="5" s="1"/>
  <c r="J16" i="5" s="1"/>
  <c r="K16" i="5" s="1"/>
  <c r="L16" i="5" s="1"/>
  <c r="M16" i="5" s="1"/>
  <c r="N16" i="5" s="1"/>
  <c r="O16" i="5" s="1"/>
  <c r="P16" i="5" s="1"/>
  <c r="Q16" i="5" s="1"/>
  <c r="R16" i="5" s="1"/>
  <c r="S16" i="5" s="1"/>
  <c r="T16" i="5" s="1"/>
  <c r="U16" i="5" s="1"/>
  <c r="V16" i="5" s="1"/>
  <c r="C16" i="5"/>
  <c r="C47" i="3" l="1"/>
  <c r="C46" i="3"/>
  <c r="C44" i="3"/>
  <c r="D21" i="5"/>
  <c r="E18" i="5"/>
  <c r="F20" i="5"/>
  <c r="F18" i="5" l="1"/>
  <c r="E19" i="5"/>
  <c r="E21" i="5" s="1"/>
  <c r="D26" i="5"/>
  <c r="D27" i="5" s="1"/>
  <c r="D34" i="5" s="1"/>
  <c r="G20" i="5"/>
  <c r="E25" i="5" l="1"/>
  <c r="E26" i="5" s="1"/>
  <c r="F19" i="5"/>
  <c r="F21" i="5" s="1"/>
  <c r="F25" i="5" s="1"/>
  <c r="F26" i="5" s="1"/>
  <c r="F27" i="5" s="1"/>
  <c r="F34" i="5" s="1"/>
  <c r="G18" i="5"/>
  <c r="H20" i="5"/>
  <c r="G19" i="5" l="1"/>
  <c r="G21" i="5" s="1"/>
  <c r="H18" i="5"/>
  <c r="E34" i="5"/>
  <c r="I20" i="5"/>
  <c r="I18" i="5" l="1"/>
  <c r="H19" i="5"/>
  <c r="H21" i="5" s="1"/>
  <c r="G25" i="5"/>
  <c r="G26" i="5" s="1"/>
  <c r="G27" i="5" s="1"/>
  <c r="J20" i="5"/>
  <c r="G34" i="5" l="1"/>
  <c r="I19" i="5"/>
  <c r="I21" i="5" s="1"/>
  <c r="J18" i="5"/>
  <c r="H25" i="5"/>
  <c r="H26" i="5" s="1"/>
  <c r="H27" i="5" s="1"/>
  <c r="K20" i="5"/>
  <c r="H34" i="5" l="1"/>
  <c r="K18" i="5"/>
  <c r="J19" i="5"/>
  <c r="J21" i="5" s="1"/>
  <c r="I25" i="5"/>
  <c r="I26" i="5" s="1"/>
  <c r="I27" i="5" s="1"/>
  <c r="L20" i="5"/>
  <c r="I34" i="5" l="1"/>
  <c r="J25" i="5"/>
  <c r="J26" i="5" s="1"/>
  <c r="J27" i="5" s="1"/>
  <c r="J34" i="5" s="1"/>
  <c r="K19" i="5"/>
  <c r="K21" i="5" s="1"/>
  <c r="L18" i="5"/>
  <c r="M20" i="5"/>
  <c r="L19" i="5" l="1"/>
  <c r="L21" i="5" s="1"/>
  <c r="M18" i="5"/>
  <c r="K25" i="5"/>
  <c r="K26" i="5" s="1"/>
  <c r="K27" i="5" s="1"/>
  <c r="N20" i="5"/>
  <c r="N18" i="5" l="1"/>
  <c r="M19" i="5"/>
  <c r="M21" i="5" s="1"/>
  <c r="K34" i="5"/>
  <c r="L25" i="5"/>
  <c r="L26" i="5" s="1"/>
  <c r="L27" i="5" s="1"/>
  <c r="L34" i="5" s="1"/>
  <c r="O20" i="5"/>
  <c r="M25" i="5" l="1"/>
  <c r="M26" i="5" s="1"/>
  <c r="M27" i="5" s="1"/>
  <c r="M34" i="5" s="1"/>
  <c r="O18" i="5"/>
  <c r="N19" i="5"/>
  <c r="N21" i="5" s="1"/>
  <c r="P20" i="5"/>
  <c r="P18" i="5" l="1"/>
  <c r="O19" i="5"/>
  <c r="O21" i="5" s="1"/>
  <c r="O25" i="5" s="1"/>
  <c r="O26" i="5" s="1"/>
  <c r="O27" i="5" s="1"/>
  <c r="O34" i="5" s="1"/>
  <c r="N25" i="5"/>
  <c r="N26" i="5" s="1"/>
  <c r="N27" i="5" s="1"/>
  <c r="N34" i="5" s="1"/>
  <c r="Q20" i="5"/>
  <c r="P19" i="5" l="1"/>
  <c r="P21" i="5" s="1"/>
  <c r="P25" i="5" s="1"/>
  <c r="P26" i="5" s="1"/>
  <c r="P27" i="5" s="1"/>
  <c r="P34" i="5" s="1"/>
  <c r="Q18" i="5"/>
  <c r="Q19" i="5" s="1"/>
  <c r="Q21" i="5" s="1"/>
  <c r="Q25" i="5" s="1"/>
  <c r="Q26" i="5" s="1"/>
  <c r="Q27" i="5" s="1"/>
  <c r="Q34" i="5" s="1"/>
  <c r="R20" i="5"/>
  <c r="B45" i="5" l="1"/>
  <c r="B49" i="5" s="1"/>
  <c r="S20" i="5"/>
  <c r="R21" i="5"/>
  <c r="R25" i="5" s="1"/>
  <c r="R26" i="5" s="1"/>
  <c r="R27" i="5" s="1"/>
  <c r="C46" i="5" l="1"/>
  <c r="S21" i="5"/>
  <c r="S25" i="5" s="1"/>
  <c r="S26" i="5" s="1"/>
  <c r="S27" i="5" s="1"/>
  <c r="T20" i="5"/>
  <c r="U20" i="5" l="1"/>
  <c r="T21" i="5"/>
  <c r="D46" i="5" l="1"/>
  <c r="D47" i="5" s="1"/>
  <c r="D48" i="5" s="1"/>
  <c r="D49" i="5" s="1"/>
  <c r="E46" i="5" s="1"/>
  <c r="E47" i="5" s="1"/>
  <c r="E48" i="5" s="1"/>
  <c r="E49" i="5" s="1"/>
  <c r="F46" i="5" s="1"/>
  <c r="F47" i="5" s="1"/>
  <c r="T25" i="5"/>
  <c r="T26" i="5" s="1"/>
  <c r="T27" i="5" s="1"/>
  <c r="T52" i="5" s="1"/>
  <c r="U21" i="5"/>
  <c r="V20" i="5"/>
  <c r="V21" i="5" s="1"/>
  <c r="V25" i="5" s="1"/>
  <c r="V26" i="5" s="1"/>
  <c r="V27" i="5" s="1"/>
  <c r="D50" i="5" l="1"/>
  <c r="D51" i="5" s="1"/>
  <c r="D52" i="5"/>
  <c r="F48" i="5"/>
  <c r="F49" i="5" s="1"/>
  <c r="G46" i="5" s="1"/>
  <c r="G47" i="5" s="1"/>
  <c r="F50" i="5"/>
  <c r="U25" i="5"/>
  <c r="U26" i="5" s="1"/>
  <c r="U27" i="5" s="1"/>
  <c r="E50" i="5"/>
  <c r="C52" i="5" l="1"/>
  <c r="G48" i="5"/>
  <c r="G49" i="5" s="1"/>
  <c r="H46" i="5" s="1"/>
  <c r="H47" i="5" s="1"/>
  <c r="E51" i="5"/>
  <c r="E52" i="5"/>
  <c r="F51" i="5"/>
  <c r="F52" i="5"/>
  <c r="G50" i="5" l="1"/>
  <c r="G51" i="5" s="1"/>
  <c r="H48" i="5"/>
  <c r="H49" i="5" s="1"/>
  <c r="I46" i="5" s="1"/>
  <c r="I47" i="5" s="1"/>
  <c r="G52" i="5" l="1"/>
  <c r="H50" i="5"/>
  <c r="H51" i="5" s="1"/>
  <c r="I48" i="5"/>
  <c r="I49" i="5" s="1"/>
  <c r="J46" i="5" s="1"/>
  <c r="J47" i="5" s="1"/>
  <c r="H52" i="5" l="1"/>
  <c r="I50" i="5"/>
  <c r="J48" i="5"/>
  <c r="J49" i="5" s="1"/>
  <c r="K46" i="5" s="1"/>
  <c r="K47" i="5" s="1"/>
  <c r="J50" i="5"/>
  <c r="J51" i="5" l="1"/>
  <c r="J52" i="5"/>
  <c r="K48" i="5"/>
  <c r="K49" i="5" s="1"/>
  <c r="L46" i="5" s="1"/>
  <c r="L47" i="5" s="1"/>
  <c r="K50" i="5"/>
  <c r="I51" i="5"/>
  <c r="I52" i="5"/>
  <c r="L48" i="5" l="1"/>
  <c r="L49" i="5" s="1"/>
  <c r="M46" i="5" s="1"/>
  <c r="M47" i="5" s="1"/>
  <c r="L50" i="5"/>
  <c r="K51" i="5"/>
  <c r="K52" i="5"/>
  <c r="L52" i="5" l="1"/>
  <c r="L51" i="5"/>
  <c r="M48" i="5"/>
  <c r="M49" i="5" s="1"/>
  <c r="N46" i="5" s="1"/>
  <c r="N47" i="5" s="1"/>
  <c r="M50" i="5"/>
  <c r="M51" i="5" l="1"/>
  <c r="M52" i="5"/>
  <c r="N48" i="5"/>
  <c r="N49" i="5" s="1"/>
  <c r="O46" i="5" s="1"/>
  <c r="O47" i="5" s="1"/>
  <c r="N50" i="5" l="1"/>
  <c r="N52" i="5" s="1"/>
  <c r="O48" i="5"/>
  <c r="O49" i="5" s="1"/>
  <c r="P46" i="5" s="1"/>
  <c r="P47" i="5" s="1"/>
  <c r="N51" i="5" l="1"/>
  <c r="O50" i="5"/>
  <c r="O52" i="5"/>
  <c r="O51" i="5"/>
  <c r="P48" i="5"/>
  <c r="P49" i="5" s="1"/>
  <c r="Q46" i="5" s="1"/>
  <c r="Q47" i="5" s="1"/>
  <c r="Q48" i="5" s="1"/>
  <c r="Q49" i="5" s="1"/>
  <c r="R46" i="5" s="1"/>
  <c r="Q50" i="5" l="1"/>
  <c r="Q51" i="5" s="1"/>
  <c r="P50" i="5"/>
  <c r="Q52" i="5"/>
  <c r="S47" i="5"/>
  <c r="P52" i="5" l="1"/>
  <c r="P51" i="5"/>
  <c r="R52" i="5"/>
  <c r="S49" i="5"/>
  <c r="T47" i="5" s="1"/>
  <c r="S50" i="5" l="1"/>
  <c r="T49" i="5" l="1"/>
  <c r="U47" i="5" s="1"/>
  <c r="S52" i="5"/>
  <c r="E15" i="5"/>
  <c r="F15" i="5" s="1"/>
  <c r="G15" i="5" s="1"/>
  <c r="H15" i="5" s="1"/>
  <c r="I15" i="5" s="1"/>
  <c r="J15" i="5" s="1"/>
  <c r="K15" i="5" s="1"/>
  <c r="L15" i="5" s="1"/>
  <c r="M15" i="5" s="1"/>
  <c r="N15" i="5" s="1"/>
  <c r="O15" i="5" s="1"/>
  <c r="P15" i="5" s="1"/>
  <c r="Q15" i="5" s="1"/>
  <c r="R15" i="5" s="1"/>
  <c r="S15" i="5" s="1"/>
  <c r="T15" i="5" s="1"/>
  <c r="U15" i="5" s="1"/>
  <c r="V15" i="5" s="1"/>
  <c r="C15" i="5"/>
  <c r="T50" i="5" l="1"/>
  <c r="F25" i="4"/>
  <c r="F26" i="4" s="1"/>
  <c r="F27" i="4" s="1"/>
  <c r="V50" i="4"/>
  <c r="U50" i="4"/>
  <c r="T50" i="4"/>
  <c r="S50" i="4"/>
  <c r="R50" i="4"/>
  <c r="C44" i="4"/>
  <c r="D44" i="4" s="1"/>
  <c r="E44" i="4" s="1"/>
  <c r="F44" i="4" s="1"/>
  <c r="G44" i="4" s="1"/>
  <c r="H44" i="4" s="1"/>
  <c r="I44" i="4" s="1"/>
  <c r="J44" i="4" s="1"/>
  <c r="K44" i="4" s="1"/>
  <c r="L44" i="4" s="1"/>
  <c r="M44" i="4" s="1"/>
  <c r="N44" i="4" s="1"/>
  <c r="O44" i="4" s="1"/>
  <c r="P44" i="4" s="1"/>
  <c r="Q44" i="4" s="1"/>
  <c r="R44" i="4" s="1"/>
  <c r="S44" i="4" s="1"/>
  <c r="T44" i="4" s="1"/>
  <c r="U44" i="4" s="1"/>
  <c r="V44" i="4" s="1"/>
  <c r="C20" i="4"/>
  <c r="D20" i="4" s="1"/>
  <c r="E20" i="4" s="1"/>
  <c r="F20" i="4" s="1"/>
  <c r="G20" i="4" s="1"/>
  <c r="H20" i="4" s="1"/>
  <c r="I20" i="4" s="1"/>
  <c r="J20" i="4" s="1"/>
  <c r="K20" i="4" s="1"/>
  <c r="L20" i="4" s="1"/>
  <c r="M20" i="4" s="1"/>
  <c r="N20" i="4" s="1"/>
  <c r="O20" i="4" s="1"/>
  <c r="P20" i="4" s="1"/>
  <c r="Q20" i="4" s="1"/>
  <c r="R20" i="4" s="1"/>
  <c r="S20" i="4" s="1"/>
  <c r="T20" i="4" s="1"/>
  <c r="U20" i="4" s="1"/>
  <c r="V20" i="4" s="1"/>
  <c r="D18" i="4"/>
  <c r="E18" i="4" s="1"/>
  <c r="F18" i="4" s="1"/>
  <c r="G18" i="4" s="1"/>
  <c r="H18" i="4" s="1"/>
  <c r="I18" i="4" s="1"/>
  <c r="J18" i="4" s="1"/>
  <c r="K18" i="4" s="1"/>
  <c r="L18" i="4" s="1"/>
  <c r="M18" i="4" s="1"/>
  <c r="N18" i="4" s="1"/>
  <c r="O18" i="4" s="1"/>
  <c r="P18" i="4" s="1"/>
  <c r="Q18" i="4" s="1"/>
  <c r="R18" i="4" s="1"/>
  <c r="S18" i="4" s="1"/>
  <c r="T18" i="4" s="1"/>
  <c r="U18" i="4" s="1"/>
  <c r="V18" i="4" s="1"/>
  <c r="C17" i="4"/>
  <c r="C19" i="4" s="1"/>
  <c r="C21" i="4" s="1"/>
  <c r="D16" i="4"/>
  <c r="D17" i="4" s="1"/>
  <c r="C15" i="4"/>
  <c r="D15" i="4" s="1"/>
  <c r="E15" i="4" s="1"/>
  <c r="F15" i="4" s="1"/>
  <c r="G15" i="4" s="1"/>
  <c r="H15" i="4" s="1"/>
  <c r="I15" i="4" s="1"/>
  <c r="J15" i="4" s="1"/>
  <c r="K15" i="4" s="1"/>
  <c r="L15" i="4" s="1"/>
  <c r="M15" i="4" s="1"/>
  <c r="N15" i="4" s="1"/>
  <c r="O15" i="4" s="1"/>
  <c r="P15" i="4" s="1"/>
  <c r="Q15" i="4" s="1"/>
  <c r="R15" i="4" s="1"/>
  <c r="S15" i="4" s="1"/>
  <c r="T15" i="4" s="1"/>
  <c r="U15" i="4" s="1"/>
  <c r="V15" i="4" s="1"/>
  <c r="E34" i="3"/>
  <c r="F34" i="3"/>
  <c r="G34" i="3"/>
  <c r="H34" i="3"/>
  <c r="I34" i="3"/>
  <c r="J34" i="3"/>
  <c r="K34" i="3"/>
  <c r="L34" i="3"/>
  <c r="M34" i="3"/>
  <c r="N34" i="3"/>
  <c r="O34" i="3"/>
  <c r="P34" i="3"/>
  <c r="Q34" i="3"/>
  <c r="V45" i="3"/>
  <c r="U45" i="3"/>
  <c r="T45" i="3"/>
  <c r="S45" i="3"/>
  <c r="C39" i="3"/>
  <c r="D39" i="3" s="1"/>
  <c r="E39" i="3" s="1"/>
  <c r="F39" i="3" s="1"/>
  <c r="G39" i="3" s="1"/>
  <c r="H39" i="3" s="1"/>
  <c r="I39" i="3" s="1"/>
  <c r="J39" i="3" s="1"/>
  <c r="K39" i="3" s="1"/>
  <c r="L39" i="3" s="1"/>
  <c r="M39" i="3" s="1"/>
  <c r="N39" i="3" s="1"/>
  <c r="O39" i="3" s="1"/>
  <c r="P39" i="3" s="1"/>
  <c r="Q39" i="3" s="1"/>
  <c r="R39" i="3" s="1"/>
  <c r="S39" i="3" s="1"/>
  <c r="T39" i="3" s="1"/>
  <c r="U39" i="3" s="1"/>
  <c r="V39" i="3" s="1"/>
  <c r="V24" i="3"/>
  <c r="U24" i="3"/>
  <c r="T24" i="3"/>
  <c r="S24" i="3"/>
  <c r="R24" i="3"/>
  <c r="Q24" i="3"/>
  <c r="P24" i="3"/>
  <c r="O24" i="3"/>
  <c r="N24" i="3"/>
  <c r="M24" i="3"/>
  <c r="L24" i="3"/>
  <c r="K24" i="3"/>
  <c r="J24" i="3"/>
  <c r="I24" i="3"/>
  <c r="H24" i="3"/>
  <c r="G24" i="3"/>
  <c r="F24" i="3"/>
  <c r="E24" i="3"/>
  <c r="D24" i="3"/>
  <c r="B27" i="3"/>
  <c r="E20" i="3"/>
  <c r="F20" i="3" s="1"/>
  <c r="G20" i="3" s="1"/>
  <c r="H20" i="3" s="1"/>
  <c r="I20" i="3" s="1"/>
  <c r="J20" i="3" s="1"/>
  <c r="K20" i="3" s="1"/>
  <c r="L20" i="3" s="1"/>
  <c r="M20" i="3" s="1"/>
  <c r="N20" i="3" s="1"/>
  <c r="O20" i="3" s="1"/>
  <c r="P20" i="3" s="1"/>
  <c r="Q20" i="3" s="1"/>
  <c r="R20" i="3" s="1"/>
  <c r="S20" i="3" s="1"/>
  <c r="T20" i="3" s="1"/>
  <c r="U20" i="3" s="1"/>
  <c r="V20" i="3" s="1"/>
  <c r="C20" i="3"/>
  <c r="E18" i="3"/>
  <c r="F18" i="3" s="1"/>
  <c r="G18" i="3" s="1"/>
  <c r="H18" i="3" s="1"/>
  <c r="I18" i="3" s="1"/>
  <c r="J18" i="3" s="1"/>
  <c r="K18" i="3" s="1"/>
  <c r="L18" i="3" s="1"/>
  <c r="M18" i="3" s="1"/>
  <c r="N18" i="3" s="1"/>
  <c r="O18" i="3" s="1"/>
  <c r="P18" i="3" s="1"/>
  <c r="Q18" i="3" s="1"/>
  <c r="R18" i="3" s="1"/>
  <c r="S18" i="3" s="1"/>
  <c r="T18" i="3" s="1"/>
  <c r="U18" i="3" s="1"/>
  <c r="V18" i="3" s="1"/>
  <c r="C19" i="3"/>
  <c r="C15" i="3"/>
  <c r="D15" i="3" s="1"/>
  <c r="E15" i="3" s="1"/>
  <c r="F15" i="3" s="1"/>
  <c r="G15" i="3" s="1"/>
  <c r="H15" i="3" s="1"/>
  <c r="I15" i="3" s="1"/>
  <c r="J15" i="3" s="1"/>
  <c r="K15" i="3" s="1"/>
  <c r="L15" i="3" s="1"/>
  <c r="M15" i="3" s="1"/>
  <c r="N15" i="3" s="1"/>
  <c r="O15" i="3" s="1"/>
  <c r="P15" i="3" s="1"/>
  <c r="Q15" i="3" s="1"/>
  <c r="R15" i="3" s="1"/>
  <c r="S15" i="3" s="1"/>
  <c r="T15" i="3" s="1"/>
  <c r="U15" i="3" s="1"/>
  <c r="V15" i="3" s="1"/>
  <c r="C50" i="1"/>
  <c r="D50" i="1"/>
  <c r="E50" i="1"/>
  <c r="F50" i="1"/>
  <c r="G50" i="1"/>
  <c r="H50" i="1"/>
  <c r="I50" i="1"/>
  <c r="J50" i="1"/>
  <c r="K50" i="1"/>
  <c r="L50" i="1"/>
  <c r="M50" i="1"/>
  <c r="N50" i="1"/>
  <c r="O50" i="1"/>
  <c r="P50" i="1"/>
  <c r="Q50" i="1"/>
  <c r="S41" i="1"/>
  <c r="T41" i="1"/>
  <c r="U41" i="1"/>
  <c r="V41" i="1"/>
  <c r="L39" i="1"/>
  <c r="E39" i="1"/>
  <c r="C35" i="1"/>
  <c r="D35" i="1" s="1"/>
  <c r="E35" i="1" s="1"/>
  <c r="F35" i="1" s="1"/>
  <c r="G35" i="1" s="1"/>
  <c r="H35" i="1" s="1"/>
  <c r="I35" i="1" s="1"/>
  <c r="J35" i="1" s="1"/>
  <c r="K35" i="1" s="1"/>
  <c r="L35" i="1" s="1"/>
  <c r="M35" i="1" s="1"/>
  <c r="N35" i="1" s="1"/>
  <c r="O35" i="1" s="1"/>
  <c r="P35" i="1" s="1"/>
  <c r="Q35" i="1" s="1"/>
  <c r="R35" i="1" s="1"/>
  <c r="S35" i="1" s="1"/>
  <c r="T35" i="1" s="1"/>
  <c r="U35" i="1" s="1"/>
  <c r="V35" i="1" s="1"/>
  <c r="D24" i="1"/>
  <c r="E24" i="1"/>
  <c r="F24" i="1"/>
  <c r="G24" i="1"/>
  <c r="H24" i="1"/>
  <c r="I24" i="1"/>
  <c r="J24" i="1"/>
  <c r="K24" i="1"/>
  <c r="L24" i="1"/>
  <c r="M24" i="1"/>
  <c r="N24" i="1"/>
  <c r="O24" i="1"/>
  <c r="P24" i="1"/>
  <c r="Q24" i="1"/>
  <c r="R24" i="1"/>
  <c r="S24" i="1"/>
  <c r="T24" i="1"/>
  <c r="U24" i="1"/>
  <c r="V24" i="1"/>
  <c r="D16" i="1"/>
  <c r="E16" i="1" s="1"/>
  <c r="E20" i="1"/>
  <c r="F20" i="1" s="1"/>
  <c r="G20" i="1" s="1"/>
  <c r="H20" i="1" s="1"/>
  <c r="I20" i="1" s="1"/>
  <c r="J20" i="1" s="1"/>
  <c r="K20" i="1" s="1"/>
  <c r="L20" i="1" s="1"/>
  <c r="M20" i="1" s="1"/>
  <c r="N20" i="1" s="1"/>
  <c r="O20" i="1" s="1"/>
  <c r="P20" i="1" s="1"/>
  <c r="Q20" i="1" s="1"/>
  <c r="R20" i="1" s="1"/>
  <c r="S20" i="1" s="1"/>
  <c r="T20" i="1" s="1"/>
  <c r="U20" i="1" s="1"/>
  <c r="V20" i="1" s="1"/>
  <c r="D18" i="1"/>
  <c r="E18" i="1" s="1"/>
  <c r="F18" i="1" s="1"/>
  <c r="G18" i="1" s="1"/>
  <c r="H18" i="1" s="1"/>
  <c r="I18" i="1" s="1"/>
  <c r="J18" i="1" s="1"/>
  <c r="K18" i="1" s="1"/>
  <c r="L18" i="1" s="1"/>
  <c r="M18" i="1" s="1"/>
  <c r="N18" i="1" s="1"/>
  <c r="O18" i="1" s="1"/>
  <c r="P18" i="1" s="1"/>
  <c r="Q18" i="1" s="1"/>
  <c r="R18" i="1" s="1"/>
  <c r="S18" i="1" s="1"/>
  <c r="T18" i="1" s="1"/>
  <c r="U18" i="1" s="1"/>
  <c r="V18" i="1" s="1"/>
  <c r="C15" i="1"/>
  <c r="D15" i="1" s="1"/>
  <c r="E15" i="1" s="1"/>
  <c r="F15" i="1" s="1"/>
  <c r="G15" i="1" s="1"/>
  <c r="H15" i="1" s="1"/>
  <c r="I15" i="1" s="1"/>
  <c r="J15" i="1" s="1"/>
  <c r="K15" i="1" s="1"/>
  <c r="L15" i="1" s="1"/>
  <c r="M15" i="1" s="1"/>
  <c r="N15" i="1" s="1"/>
  <c r="O15" i="1" s="1"/>
  <c r="P15" i="1" s="1"/>
  <c r="Q15" i="1" s="1"/>
  <c r="R15" i="1" s="1"/>
  <c r="S15" i="1" s="1"/>
  <c r="T15" i="1" s="1"/>
  <c r="U15" i="1" s="1"/>
  <c r="V15" i="1" s="1"/>
  <c r="U49" i="5" l="1"/>
  <c r="V47" i="5" s="1"/>
  <c r="U24" i="4"/>
  <c r="U25" i="4" s="1"/>
  <c r="U26" i="4" s="1"/>
  <c r="U27" i="4" s="1"/>
  <c r="M24" i="4"/>
  <c r="M25" i="4" s="1"/>
  <c r="M26" i="4" s="1"/>
  <c r="M27" i="4" s="1"/>
  <c r="E25" i="4"/>
  <c r="E26" i="4" s="1"/>
  <c r="E27" i="4" s="1"/>
  <c r="T24" i="4"/>
  <c r="T25" i="4" s="1"/>
  <c r="T26" i="4" s="1"/>
  <c r="T27" i="4" s="1"/>
  <c r="L24" i="4"/>
  <c r="L25" i="4" s="1"/>
  <c r="L26" i="4" s="1"/>
  <c r="L27" i="4" s="1"/>
  <c r="D25" i="4"/>
  <c r="D26" i="4" s="1"/>
  <c r="D27" i="4" s="1"/>
  <c r="S24" i="4"/>
  <c r="S25" i="4" s="1"/>
  <c r="S26" i="4" s="1"/>
  <c r="S27" i="4" s="1"/>
  <c r="K24" i="4"/>
  <c r="K25" i="4" s="1"/>
  <c r="K26" i="4" s="1"/>
  <c r="K27" i="4" s="1"/>
  <c r="R24" i="4"/>
  <c r="R25" i="4" s="1"/>
  <c r="R26" i="4" s="1"/>
  <c r="R27" i="4" s="1"/>
  <c r="J24" i="4"/>
  <c r="J25" i="4" s="1"/>
  <c r="J26" i="4" s="1"/>
  <c r="J27" i="4" s="1"/>
  <c r="Q24" i="4"/>
  <c r="Q25" i="4" s="1"/>
  <c r="Q26" i="4" s="1"/>
  <c r="Q27" i="4" s="1"/>
  <c r="P24" i="4"/>
  <c r="P25" i="4" s="1"/>
  <c r="P26" i="4" s="1"/>
  <c r="P27" i="4" s="1"/>
  <c r="H25" i="4"/>
  <c r="H26" i="4" s="1"/>
  <c r="H27" i="4" s="1"/>
  <c r="O24" i="4"/>
  <c r="O25" i="4" s="1"/>
  <c r="O26" i="4" s="1"/>
  <c r="O27" i="4" s="1"/>
  <c r="G25" i="4"/>
  <c r="G26" i="4" s="1"/>
  <c r="G27" i="4" s="1"/>
  <c r="V24" i="4"/>
  <c r="V25" i="4" s="1"/>
  <c r="V26" i="4" s="1"/>
  <c r="V27" i="4" s="1"/>
  <c r="N24" i="4"/>
  <c r="N25" i="4" s="1"/>
  <c r="N26" i="4" s="1"/>
  <c r="N27" i="4" s="1"/>
  <c r="D19" i="4"/>
  <c r="D21" i="4" s="1"/>
  <c r="E16" i="4"/>
  <c r="C21" i="3"/>
  <c r="B40" i="3"/>
  <c r="D21" i="3"/>
  <c r="E16" i="3"/>
  <c r="F16" i="1"/>
  <c r="E17" i="1"/>
  <c r="D37" i="1"/>
  <c r="K39" i="1"/>
  <c r="D39" i="1"/>
  <c r="J39" i="1"/>
  <c r="Q39" i="1"/>
  <c r="I39" i="1"/>
  <c r="P39" i="1"/>
  <c r="H39" i="1"/>
  <c r="D21" i="1"/>
  <c r="O39" i="1"/>
  <c r="G39" i="1"/>
  <c r="N39" i="1"/>
  <c r="F39" i="1"/>
  <c r="C37" i="1"/>
  <c r="M39" i="1"/>
  <c r="D38" i="1"/>
  <c r="D41" i="1" s="1"/>
  <c r="D40" i="1"/>
  <c r="E37" i="1" s="1"/>
  <c r="E38" i="1" s="1"/>
  <c r="E41" i="1" s="1"/>
  <c r="F17" i="1"/>
  <c r="F19" i="1" s="1"/>
  <c r="F21" i="1" s="1"/>
  <c r="G16" i="1"/>
  <c r="E19" i="1"/>
  <c r="E21" i="1" s="1"/>
  <c r="C41" i="3" l="1"/>
  <c r="D41" i="3" s="1"/>
  <c r="U50" i="5"/>
  <c r="D34" i="4"/>
  <c r="E17" i="4"/>
  <c r="E19" i="4" s="1"/>
  <c r="E21" i="4" s="1"/>
  <c r="F16" i="4"/>
  <c r="D25" i="3"/>
  <c r="D26" i="3" s="1"/>
  <c r="D27" i="3" s="1"/>
  <c r="F16" i="3"/>
  <c r="E17" i="3"/>
  <c r="E19" i="3" s="1"/>
  <c r="E21" i="3" s="1"/>
  <c r="F25" i="1"/>
  <c r="F26" i="1" s="1"/>
  <c r="F27" i="1" s="1"/>
  <c r="F42" i="1" s="1"/>
  <c r="D25" i="1"/>
  <c r="D27" i="1" s="1"/>
  <c r="D42" i="1" s="1"/>
  <c r="E25" i="1"/>
  <c r="E26" i="1" s="1"/>
  <c r="E27" i="1" s="1"/>
  <c r="E42" i="1" s="1"/>
  <c r="E40" i="1"/>
  <c r="F37" i="1" s="1"/>
  <c r="H16" i="1"/>
  <c r="G17" i="1"/>
  <c r="G19" i="1" s="1"/>
  <c r="G21" i="1" s="1"/>
  <c r="U52" i="5" l="1"/>
  <c r="V49" i="5"/>
  <c r="D43" i="3"/>
  <c r="D44" i="3" s="1"/>
  <c r="E41" i="3" s="1"/>
  <c r="E42" i="3" s="1"/>
  <c r="F17" i="4"/>
  <c r="F19" i="4" s="1"/>
  <c r="F21" i="4" s="1"/>
  <c r="G16" i="4"/>
  <c r="E25" i="3"/>
  <c r="E26" i="3" s="1"/>
  <c r="E27" i="3" s="1"/>
  <c r="G16" i="3"/>
  <c r="F17" i="3"/>
  <c r="F19" i="3" s="1"/>
  <c r="F21" i="3" s="1"/>
  <c r="C43" i="1"/>
  <c r="E43" i="1"/>
  <c r="D43" i="1"/>
  <c r="G25" i="1"/>
  <c r="G26" i="1" s="1"/>
  <c r="G27" i="1" s="1"/>
  <c r="G42" i="1" s="1"/>
  <c r="F40" i="1"/>
  <c r="G37" i="1" s="1"/>
  <c r="F38" i="1"/>
  <c r="F41" i="1" s="1"/>
  <c r="F43" i="1" s="1"/>
  <c r="H17" i="1"/>
  <c r="H19" i="1" s="1"/>
  <c r="H21" i="1" s="1"/>
  <c r="I16" i="1"/>
  <c r="V50" i="5" l="1"/>
  <c r="D45" i="3"/>
  <c r="E34" i="4"/>
  <c r="H16" i="4"/>
  <c r="G17" i="4"/>
  <c r="G19" i="4" s="1"/>
  <c r="G21" i="4" s="1"/>
  <c r="F25" i="3"/>
  <c r="F26" i="3" s="1"/>
  <c r="F27" i="3" s="1"/>
  <c r="H16" i="3"/>
  <c r="G17" i="3"/>
  <c r="G19" i="3" s="1"/>
  <c r="G21" i="3" s="1"/>
  <c r="G38" i="1"/>
  <c r="G41" i="1" s="1"/>
  <c r="G43" i="1" s="1"/>
  <c r="G40" i="1"/>
  <c r="H37" i="1" s="1"/>
  <c r="H25" i="1"/>
  <c r="H26" i="1" s="1"/>
  <c r="H27" i="1" s="1"/>
  <c r="H42" i="1" s="1"/>
  <c r="J16" i="1"/>
  <c r="I17" i="1"/>
  <c r="I19" i="1" s="1"/>
  <c r="I21" i="1" s="1"/>
  <c r="V52" i="5" l="1"/>
  <c r="D46" i="3"/>
  <c r="D47" i="3"/>
  <c r="E43" i="3"/>
  <c r="E44" i="3" s="1"/>
  <c r="F41" i="3" s="1"/>
  <c r="F42" i="3" s="1"/>
  <c r="F34" i="4"/>
  <c r="H17" i="4"/>
  <c r="H19" i="4" s="1"/>
  <c r="H21" i="4" s="1"/>
  <c r="I16" i="4"/>
  <c r="G25" i="3"/>
  <c r="G26" i="3" s="1"/>
  <c r="G27" i="3" s="1"/>
  <c r="I16" i="3"/>
  <c r="H17" i="3"/>
  <c r="H19" i="3" s="1"/>
  <c r="H21" i="3" s="1"/>
  <c r="H38" i="1"/>
  <c r="H41" i="1" s="1"/>
  <c r="H43" i="1" s="1"/>
  <c r="H40" i="1"/>
  <c r="I37" i="1" s="1"/>
  <c r="I25" i="1"/>
  <c r="I26" i="1" s="1"/>
  <c r="I27" i="1"/>
  <c r="I42" i="1" s="1"/>
  <c r="K16" i="1"/>
  <c r="J17" i="1"/>
  <c r="J19" i="1" s="1"/>
  <c r="J21" i="1" s="1"/>
  <c r="B56" i="5" l="1"/>
  <c r="B55" i="5"/>
  <c r="F43" i="3"/>
  <c r="F44" i="3" s="1"/>
  <c r="G41" i="3" s="1"/>
  <c r="G42" i="3" s="1"/>
  <c r="F45" i="3"/>
  <c r="E45" i="3"/>
  <c r="G34" i="4"/>
  <c r="J16" i="4"/>
  <c r="I17" i="4"/>
  <c r="I19" i="4" s="1"/>
  <c r="I21" i="4" s="1"/>
  <c r="H25" i="3"/>
  <c r="H26" i="3" s="1"/>
  <c r="H27" i="3" s="1"/>
  <c r="I17" i="3"/>
  <c r="I19" i="3" s="1"/>
  <c r="I21" i="3" s="1"/>
  <c r="J16" i="3"/>
  <c r="I38" i="1"/>
  <c r="I41" i="1" s="1"/>
  <c r="I40" i="1"/>
  <c r="J37" i="1" s="1"/>
  <c r="J25" i="1"/>
  <c r="J26" i="1" s="1"/>
  <c r="J27" i="1" s="1"/>
  <c r="J42" i="1" s="1"/>
  <c r="K17" i="1"/>
  <c r="K19" i="1" s="1"/>
  <c r="K21" i="1" s="1"/>
  <c r="L16" i="1"/>
  <c r="F46" i="3" l="1"/>
  <c r="F47" i="3"/>
  <c r="E47" i="3"/>
  <c r="E46" i="3"/>
  <c r="G43" i="3"/>
  <c r="G44" i="3" s="1"/>
  <c r="H41" i="3" s="1"/>
  <c r="H34" i="4"/>
  <c r="K16" i="4"/>
  <c r="J17" i="4"/>
  <c r="J19" i="4" s="1"/>
  <c r="J21" i="4" s="1"/>
  <c r="I25" i="3"/>
  <c r="I26" i="3" s="1"/>
  <c r="I27" i="3" s="1"/>
  <c r="J17" i="3"/>
  <c r="J19" i="3" s="1"/>
  <c r="J21" i="3" s="1"/>
  <c r="K16" i="3"/>
  <c r="K25" i="1"/>
  <c r="K26" i="1" s="1"/>
  <c r="K27" i="1" s="1"/>
  <c r="K42" i="1" s="1"/>
  <c r="I43" i="1"/>
  <c r="J38" i="1"/>
  <c r="J41" i="1" s="1"/>
  <c r="J40" i="1"/>
  <c r="K37" i="1" s="1"/>
  <c r="M16" i="1"/>
  <c r="L17" i="1"/>
  <c r="L19" i="1" s="1"/>
  <c r="L21" i="1" s="1"/>
  <c r="H42" i="3" l="1"/>
  <c r="H43" i="3" s="1"/>
  <c r="G45" i="3"/>
  <c r="I34" i="4"/>
  <c r="K17" i="4"/>
  <c r="K19" i="4" s="1"/>
  <c r="K21" i="4" s="1"/>
  <c r="L16" i="4"/>
  <c r="K17" i="3"/>
  <c r="K19" i="3" s="1"/>
  <c r="K21" i="3" s="1"/>
  <c r="L16" i="3"/>
  <c r="J25" i="3"/>
  <c r="J26" i="3" s="1"/>
  <c r="J27" i="3" s="1"/>
  <c r="K40" i="1"/>
  <c r="L37" i="1" s="1"/>
  <c r="K38" i="1"/>
  <c r="K41" i="1" s="1"/>
  <c r="K43" i="1" s="1"/>
  <c r="L25" i="1"/>
  <c r="L26" i="1" s="1"/>
  <c r="L27" i="1" s="1"/>
  <c r="L42" i="1" s="1"/>
  <c r="J43" i="1"/>
  <c r="N16" i="1"/>
  <c r="M17" i="1"/>
  <c r="M19" i="1" s="1"/>
  <c r="M21" i="1" s="1"/>
  <c r="H44" i="3" l="1"/>
  <c r="I41" i="3" s="1"/>
  <c r="I42" i="3" s="1"/>
  <c r="H45" i="3"/>
  <c r="G47" i="3"/>
  <c r="G46" i="3"/>
  <c r="J34" i="4"/>
  <c r="L17" i="4"/>
  <c r="L19" i="4" s="1"/>
  <c r="L21" i="4" s="1"/>
  <c r="M16" i="4"/>
  <c r="I43" i="3"/>
  <c r="I44" i="3" s="1"/>
  <c r="J41" i="3" s="1"/>
  <c r="J42" i="3" s="1"/>
  <c r="L17" i="3"/>
  <c r="L19" i="3" s="1"/>
  <c r="L21" i="3" s="1"/>
  <c r="M16" i="3"/>
  <c r="K25" i="3"/>
  <c r="K26" i="3" s="1"/>
  <c r="K27" i="3" s="1"/>
  <c r="L38" i="1"/>
  <c r="L41" i="1" s="1"/>
  <c r="L43" i="1" s="1"/>
  <c r="L40" i="1"/>
  <c r="M37" i="1" s="1"/>
  <c r="M25" i="1"/>
  <c r="M26" i="1" s="1"/>
  <c r="M27" i="1" s="1"/>
  <c r="M42" i="1" s="1"/>
  <c r="O16" i="1"/>
  <c r="N17" i="1"/>
  <c r="N19" i="1" s="1"/>
  <c r="N21" i="1" s="1"/>
  <c r="H47" i="3" l="1"/>
  <c r="H46" i="3"/>
  <c r="K34" i="4"/>
  <c r="M17" i="4"/>
  <c r="M19" i="4" s="1"/>
  <c r="M21" i="4" s="1"/>
  <c r="N16" i="4"/>
  <c r="I45" i="3"/>
  <c r="N16" i="3"/>
  <c r="M17" i="3"/>
  <c r="M19" i="3" s="1"/>
  <c r="M21" i="3" s="1"/>
  <c r="L25" i="3"/>
  <c r="L26" i="3" s="1"/>
  <c r="L27" i="3" s="1"/>
  <c r="N25" i="1"/>
  <c r="N26" i="1" s="1"/>
  <c r="N27" i="1" s="1"/>
  <c r="N42" i="1" s="1"/>
  <c r="M40" i="1"/>
  <c r="N37" i="1" s="1"/>
  <c r="M38" i="1"/>
  <c r="M41" i="1" s="1"/>
  <c r="O17" i="1"/>
  <c r="O19" i="1" s="1"/>
  <c r="O21" i="1" s="1"/>
  <c r="P16" i="1"/>
  <c r="L34" i="4" l="1"/>
  <c r="N17" i="4"/>
  <c r="N19" i="4" s="1"/>
  <c r="N21" i="4" s="1"/>
  <c r="O16" i="4"/>
  <c r="I47" i="3"/>
  <c r="I46" i="3"/>
  <c r="J43" i="3"/>
  <c r="J44" i="3" s="1"/>
  <c r="K41" i="3" s="1"/>
  <c r="K42" i="3" s="1"/>
  <c r="O16" i="3"/>
  <c r="N17" i="3"/>
  <c r="N19" i="3" s="1"/>
  <c r="N21" i="3" s="1"/>
  <c r="M25" i="3"/>
  <c r="M26" i="3" s="1"/>
  <c r="M27" i="3" s="1"/>
  <c r="O25" i="1"/>
  <c r="O26" i="1" s="1"/>
  <c r="O27" i="1" s="1"/>
  <c r="O42" i="1" s="1"/>
  <c r="N40" i="1"/>
  <c r="O37" i="1" s="1"/>
  <c r="N38" i="1"/>
  <c r="N41" i="1" s="1"/>
  <c r="N43" i="1" s="1"/>
  <c r="M43" i="1"/>
  <c r="Q16" i="1"/>
  <c r="P17" i="1"/>
  <c r="P19" i="1" s="1"/>
  <c r="P21" i="1" s="1"/>
  <c r="M34" i="4" l="1"/>
  <c r="P16" i="4"/>
  <c r="O17" i="4"/>
  <c r="O19" i="4" s="1"/>
  <c r="O21" i="4" s="1"/>
  <c r="J45" i="3"/>
  <c r="N25" i="3"/>
  <c r="N26" i="3" s="1"/>
  <c r="N27" i="3" s="1"/>
  <c r="P16" i="3"/>
  <c r="O17" i="3"/>
  <c r="O19" i="3" s="1"/>
  <c r="O21" i="3" s="1"/>
  <c r="P25" i="1"/>
  <c r="P26" i="1" s="1"/>
  <c r="P27" i="1"/>
  <c r="P42" i="1" s="1"/>
  <c r="O38" i="1"/>
  <c r="O41" i="1" s="1"/>
  <c r="O40" i="1"/>
  <c r="P37" i="1" s="1"/>
  <c r="R16" i="1"/>
  <c r="Q17" i="1"/>
  <c r="Q19" i="1" s="1"/>
  <c r="Q21" i="1" s="1"/>
  <c r="N34" i="4" l="1"/>
  <c r="Q16" i="4"/>
  <c r="P17" i="4"/>
  <c r="P19" i="4" s="1"/>
  <c r="P21" i="4" s="1"/>
  <c r="J47" i="3"/>
  <c r="J46" i="3"/>
  <c r="K43" i="3"/>
  <c r="K44" i="3" s="1"/>
  <c r="L41" i="3" s="1"/>
  <c r="L42" i="3" s="1"/>
  <c r="K45" i="3"/>
  <c r="O25" i="3"/>
  <c r="O26" i="3" s="1"/>
  <c r="O27" i="3" s="1"/>
  <c r="Q16" i="3"/>
  <c r="P17" i="3"/>
  <c r="P19" i="3" s="1"/>
  <c r="P21" i="3" s="1"/>
  <c r="P40" i="1"/>
  <c r="Q37" i="1" s="1"/>
  <c r="P38" i="1"/>
  <c r="P41" i="1" s="1"/>
  <c r="P43" i="1" s="1"/>
  <c r="Q25" i="1"/>
  <c r="Q26" i="1" s="1"/>
  <c r="Q27" i="1"/>
  <c r="Q42" i="1" s="1"/>
  <c r="O43" i="1"/>
  <c r="R41" i="1"/>
  <c r="S16" i="1"/>
  <c r="R17" i="1"/>
  <c r="R19" i="1" s="1"/>
  <c r="R21" i="1" s="1"/>
  <c r="O34" i="4" l="1"/>
  <c r="R16" i="4"/>
  <c r="Q17" i="4"/>
  <c r="Q19" i="4" s="1"/>
  <c r="Q21" i="4" s="1"/>
  <c r="K47" i="3"/>
  <c r="K46" i="3"/>
  <c r="P25" i="3"/>
  <c r="P26" i="3" s="1"/>
  <c r="P27" i="3" s="1"/>
  <c r="Q17" i="3"/>
  <c r="Q19" i="3" s="1"/>
  <c r="Q21" i="3" s="1"/>
  <c r="R16" i="3"/>
  <c r="R25" i="1"/>
  <c r="R26" i="1" s="1"/>
  <c r="R27" i="1" s="1"/>
  <c r="R43" i="1" s="1"/>
  <c r="Q38" i="1"/>
  <c r="Q41" i="1" s="1"/>
  <c r="Q40" i="1"/>
  <c r="R37" i="1" s="1"/>
  <c r="R40" i="1" s="1"/>
  <c r="S37" i="1" s="1"/>
  <c r="S40" i="1" s="1"/>
  <c r="T37" i="1" s="1"/>
  <c r="T40" i="1" s="1"/>
  <c r="U37" i="1" s="1"/>
  <c r="U40" i="1" s="1"/>
  <c r="V37" i="1" s="1"/>
  <c r="V40" i="1" s="1"/>
  <c r="S17" i="1"/>
  <c r="S19" i="1" s="1"/>
  <c r="S21" i="1" s="1"/>
  <c r="T16" i="1"/>
  <c r="P34" i="4" l="1"/>
  <c r="R17" i="4"/>
  <c r="R19" i="4" s="1"/>
  <c r="R21" i="4" s="1"/>
  <c r="S16" i="4"/>
  <c r="L43" i="3"/>
  <c r="L44" i="3" s="1"/>
  <c r="M41" i="3" s="1"/>
  <c r="M42" i="3" s="1"/>
  <c r="Q25" i="3"/>
  <c r="Q26" i="3" s="1"/>
  <c r="Q27" i="3" s="1"/>
  <c r="R17" i="3"/>
  <c r="R19" i="3" s="1"/>
  <c r="R21" i="3" s="1"/>
  <c r="S16" i="3"/>
  <c r="S25" i="1"/>
  <c r="S26" i="1" s="1"/>
  <c r="S27" i="1" s="1"/>
  <c r="S43" i="1" s="1"/>
  <c r="Q43" i="1"/>
  <c r="U16" i="1"/>
  <c r="T17" i="1"/>
  <c r="T19" i="1" s="1"/>
  <c r="T21" i="1" s="1"/>
  <c r="Q34" i="4" l="1"/>
  <c r="T16" i="4"/>
  <c r="S17" i="4"/>
  <c r="S19" i="4" s="1"/>
  <c r="S21" i="4" s="1"/>
  <c r="R52" i="4"/>
  <c r="L45" i="3"/>
  <c r="S17" i="3"/>
  <c r="S19" i="3" s="1"/>
  <c r="S21" i="3" s="1"/>
  <c r="T16" i="3"/>
  <c r="R25" i="3"/>
  <c r="R26" i="3" s="1"/>
  <c r="R27" i="3" s="1"/>
  <c r="T25" i="1"/>
  <c r="T26" i="1" s="1"/>
  <c r="T27" i="1"/>
  <c r="T43" i="1" s="1"/>
  <c r="V16" i="1"/>
  <c r="V17" i="1" s="1"/>
  <c r="V19" i="1" s="1"/>
  <c r="V21" i="1" s="1"/>
  <c r="U17" i="1"/>
  <c r="U19" i="1" s="1"/>
  <c r="U21" i="1" s="1"/>
  <c r="S52" i="4" l="1"/>
  <c r="T17" i="4"/>
  <c r="T19" i="4" s="1"/>
  <c r="T21" i="4" s="1"/>
  <c r="U16" i="4"/>
  <c r="C35" i="4"/>
  <c r="M43" i="3"/>
  <c r="M44" i="3" s="1"/>
  <c r="N41" i="3" s="1"/>
  <c r="N42" i="3" s="1"/>
  <c r="L46" i="3"/>
  <c r="L47" i="3"/>
  <c r="T17" i="3"/>
  <c r="T19" i="3" s="1"/>
  <c r="T21" i="3" s="1"/>
  <c r="U16" i="3"/>
  <c r="S25" i="3"/>
  <c r="S26" i="3" s="1"/>
  <c r="S27" i="3" s="1"/>
  <c r="S47" i="3" s="1"/>
  <c r="U25" i="1"/>
  <c r="U26" i="1" s="1"/>
  <c r="U27" i="1"/>
  <c r="U43" i="1" s="1"/>
  <c r="V25" i="1"/>
  <c r="V26" i="1" s="1"/>
  <c r="V27" i="1" s="1"/>
  <c r="C46" i="4" l="1"/>
  <c r="T52" i="4"/>
  <c r="U17" i="4"/>
  <c r="U19" i="4" s="1"/>
  <c r="U21" i="4" s="1"/>
  <c r="V16" i="4"/>
  <c r="V17" i="4" s="1"/>
  <c r="V19" i="4" s="1"/>
  <c r="V21" i="4" s="1"/>
  <c r="M45" i="3"/>
  <c r="V16" i="3"/>
  <c r="V17" i="3" s="1"/>
  <c r="V19" i="3" s="1"/>
  <c r="V21" i="3" s="1"/>
  <c r="U17" i="3"/>
  <c r="U19" i="3" s="1"/>
  <c r="U21" i="3" s="1"/>
  <c r="T25" i="3"/>
  <c r="T26" i="3" s="1"/>
  <c r="T27" i="3" s="1"/>
  <c r="T47" i="3" s="1"/>
  <c r="V43" i="1"/>
  <c r="B31" i="1"/>
  <c r="B49" i="4" l="1"/>
  <c r="U52" i="4"/>
  <c r="N43" i="3"/>
  <c r="N44" i="3" s="1"/>
  <c r="O41" i="3" s="1"/>
  <c r="O42" i="3" s="1"/>
  <c r="M46" i="3"/>
  <c r="M47" i="3"/>
  <c r="U25" i="3"/>
  <c r="U26" i="3" s="1"/>
  <c r="U27" i="3" s="1"/>
  <c r="U47" i="3" s="1"/>
  <c r="V25" i="3"/>
  <c r="V26" i="3" s="1"/>
  <c r="V27" i="3" s="1"/>
  <c r="B47" i="1"/>
  <c r="N45" i="3" l="1"/>
  <c r="V52" i="4"/>
  <c r="B31" i="4"/>
  <c r="B32" i="4"/>
  <c r="D46" i="4"/>
  <c r="N46" i="3"/>
  <c r="N47" i="3"/>
  <c r="V47" i="3"/>
  <c r="B32" i="3"/>
  <c r="B31" i="3"/>
  <c r="D47" i="4" l="1"/>
  <c r="O43" i="3"/>
  <c r="O44" i="3" s="1"/>
  <c r="P41" i="3" s="1"/>
  <c r="P42" i="3" s="1"/>
  <c r="O45" i="3"/>
  <c r="D48" i="4" l="1"/>
  <c r="D49" i="4" s="1"/>
  <c r="E46" i="4" s="1"/>
  <c r="O47" i="3"/>
  <c r="O46" i="3"/>
  <c r="E47" i="4" l="1"/>
  <c r="D50" i="4"/>
  <c r="P43" i="3"/>
  <c r="P44" i="3" s="1"/>
  <c r="Q41" i="3" s="1"/>
  <c r="Q42" i="3" s="1"/>
  <c r="P45" i="3" l="1"/>
  <c r="P47" i="3" s="1"/>
  <c r="D52" i="4"/>
  <c r="D51" i="4"/>
  <c r="E48" i="4"/>
  <c r="E49" i="4" s="1"/>
  <c r="F46" i="4" s="1"/>
  <c r="P46" i="3" l="1"/>
  <c r="E50" i="4"/>
  <c r="F47" i="4"/>
  <c r="Q43" i="3"/>
  <c r="Q44" i="3" s="1"/>
  <c r="R41" i="3" l="1"/>
  <c r="S41" i="3" s="1"/>
  <c r="S44" i="3" s="1"/>
  <c r="T41" i="3" s="1"/>
  <c r="T44" i="3" s="1"/>
  <c r="U41" i="3" s="1"/>
  <c r="U44" i="3" s="1"/>
  <c r="V41" i="3" s="1"/>
  <c r="V44" i="3" s="1"/>
  <c r="F48" i="4"/>
  <c r="F49" i="4" s="1"/>
  <c r="G46" i="4" s="1"/>
  <c r="E52" i="4"/>
  <c r="E51" i="4"/>
  <c r="Q45" i="3"/>
  <c r="G47" i="4" l="1"/>
  <c r="F50" i="4"/>
  <c r="Q47" i="3"/>
  <c r="Q46" i="3"/>
  <c r="F52" i="4" l="1"/>
  <c r="F51" i="4"/>
  <c r="G48" i="4"/>
  <c r="G49" i="4" s="1"/>
  <c r="H46" i="4" s="1"/>
  <c r="B51" i="3"/>
  <c r="B50" i="3"/>
  <c r="H47" i="4" l="1"/>
  <c r="G50" i="4"/>
  <c r="H48" i="4" l="1"/>
  <c r="H49" i="4" s="1"/>
  <c r="I46" i="4" s="1"/>
  <c r="G52" i="4"/>
  <c r="G51" i="4"/>
  <c r="I47" i="4" l="1"/>
  <c r="H50" i="4"/>
  <c r="H52" i="4" l="1"/>
  <c r="H51" i="4"/>
  <c r="I48" i="4"/>
  <c r="I49" i="4" s="1"/>
  <c r="J46" i="4" s="1"/>
  <c r="J47" i="4" l="1"/>
  <c r="I50" i="4"/>
  <c r="I51" i="4" l="1"/>
  <c r="I52" i="4"/>
  <c r="J48" i="4"/>
  <c r="J49" i="4" s="1"/>
  <c r="K46" i="4" s="1"/>
  <c r="K47" i="4" l="1"/>
  <c r="J50" i="4"/>
  <c r="J52" i="4" l="1"/>
  <c r="J51" i="4"/>
  <c r="K48" i="4"/>
  <c r="K49" i="4" s="1"/>
  <c r="L46" i="4" s="1"/>
  <c r="L47" i="4" l="1"/>
  <c r="K50" i="4"/>
  <c r="K52" i="4" l="1"/>
  <c r="K51" i="4"/>
  <c r="L48" i="4"/>
  <c r="L49" i="4" s="1"/>
  <c r="M46" i="4" s="1"/>
  <c r="M47" i="4" l="1"/>
  <c r="L50" i="4"/>
  <c r="L52" i="4" l="1"/>
  <c r="L51" i="4"/>
  <c r="M48" i="4"/>
  <c r="M49" i="4" s="1"/>
  <c r="N46" i="4" s="1"/>
  <c r="N47" i="4" l="1"/>
  <c r="M50" i="4"/>
  <c r="M52" i="4" l="1"/>
  <c r="M51" i="4"/>
  <c r="N48" i="4"/>
  <c r="N49" i="4" s="1"/>
  <c r="O46" i="4" s="1"/>
  <c r="N50" i="4" l="1"/>
  <c r="O47" i="4"/>
  <c r="O48" i="4" l="1"/>
  <c r="O49" i="4" s="1"/>
  <c r="P46" i="4" s="1"/>
  <c r="N52" i="4"/>
  <c r="N51" i="4"/>
  <c r="P47" i="4" l="1"/>
  <c r="O50" i="4"/>
  <c r="O52" i="4" l="1"/>
  <c r="O51" i="4"/>
  <c r="P48" i="4"/>
  <c r="P49" i="4" s="1"/>
  <c r="Q46" i="4" s="1"/>
  <c r="Q47" i="4" l="1"/>
  <c r="P50" i="4"/>
  <c r="P52" i="4" l="1"/>
  <c r="P51" i="4"/>
  <c r="Q48" i="4"/>
  <c r="Q49" i="4" s="1"/>
  <c r="R49" i="4" s="1"/>
  <c r="S46" i="4" s="1"/>
  <c r="S49" i="4" s="1"/>
  <c r="T46" i="4" s="1"/>
  <c r="T49" i="4" s="1"/>
  <c r="U46" i="4" s="1"/>
  <c r="U49" i="4" s="1"/>
  <c r="V46" i="4" s="1"/>
  <c r="V49" i="4" s="1"/>
  <c r="Q50" i="4" l="1"/>
  <c r="Q52" i="4" l="1"/>
  <c r="B55" i="4" s="1"/>
  <c r="Q51" i="4"/>
  <c r="B56" i="4" l="1"/>
</calcChain>
</file>

<file path=xl/sharedStrings.xml><?xml version="1.0" encoding="utf-8"?>
<sst xmlns="http://schemas.openxmlformats.org/spreadsheetml/2006/main" count="223" uniqueCount="62">
  <si>
    <t>Cash Flow Inputs</t>
  </si>
  <si>
    <t>Capacity (MW)</t>
  </si>
  <si>
    <t>Capacity Factor (%)</t>
  </si>
  <si>
    <t>Annual Degredation (%)</t>
  </si>
  <si>
    <t>PPA Price ($/MWh)</t>
  </si>
  <si>
    <t>PPA Price Escalation (%)</t>
  </si>
  <si>
    <t>Operating Expenses ($/MW)</t>
  </si>
  <si>
    <t>Operating Escalation (%)</t>
  </si>
  <si>
    <t>Construction Cost ($/MW)</t>
  </si>
  <si>
    <t>Tax Rate (%)</t>
  </si>
  <si>
    <t>Discount Rate (for NPV) (%)</t>
  </si>
  <si>
    <t>Financing Assumptions</t>
  </si>
  <si>
    <t>Target DSCR</t>
  </si>
  <si>
    <t>Debt-to-Capital Ration (%)</t>
  </si>
  <si>
    <t>Interest Rate (%)</t>
  </si>
  <si>
    <t>Debt Term (years)</t>
  </si>
  <si>
    <t>MODEL</t>
  </si>
  <si>
    <t>Revenue and EBITA</t>
  </si>
  <si>
    <t>Year</t>
  </si>
  <si>
    <t>Degredation Factor</t>
  </si>
  <si>
    <t>Energy Ouput (MWh)</t>
  </si>
  <si>
    <t>Revenue ($)</t>
  </si>
  <si>
    <t>Operating Expenses ($)</t>
  </si>
  <si>
    <t>EBITDA ($)</t>
  </si>
  <si>
    <t>EBT ($)</t>
  </si>
  <si>
    <t>Depreciation ($)</t>
  </si>
  <si>
    <t>Capital Expenditures ($)</t>
  </si>
  <si>
    <t>Cash Taxes ($)</t>
  </si>
  <si>
    <t>Unlevered Free Cash Flow ($)</t>
  </si>
  <si>
    <t>Returns</t>
  </si>
  <si>
    <t>Project IRR</t>
  </si>
  <si>
    <t>Project NPV</t>
  </si>
  <si>
    <t>Debt Schedule and Levered FCF</t>
  </si>
  <si>
    <t>Debt Drawn</t>
  </si>
  <si>
    <t>Begininning Debt Balance</t>
  </si>
  <si>
    <t>Interest Expense</t>
  </si>
  <si>
    <t>Principal Payment</t>
  </si>
  <si>
    <t>Ending Debt Balance</t>
  </si>
  <si>
    <t>DSCR</t>
  </si>
  <si>
    <t>Total Debt Service</t>
  </si>
  <si>
    <t>Levered Free Cash Flows</t>
  </si>
  <si>
    <t>Equity Returns</t>
  </si>
  <si>
    <t>Equity IRR</t>
  </si>
  <si>
    <t>Equity NPV</t>
  </si>
  <si>
    <t>DSCR Over Time</t>
  </si>
  <si>
    <t>Unlevered vs. Levered Free Cash Flow</t>
  </si>
  <si>
    <t>"This shows the actual cost of leverage over time — in the early years the project can't cover its debt service at all, going cash-negative to the equity holder, and it isn't until debt fully amortizes at Year 15 that levered and unlevered cash flow converge. Combined with the DSCR chart, this tells the same story two ways: this project is over-levered relative to what its own cash flow can support."</t>
  </si>
  <si>
    <t>Sculpted Intitial Debt (PV of all Cash Flows)</t>
  </si>
  <si>
    <t>Max Debt Service (Unlevered CFC/Target DSCR)</t>
  </si>
  <si>
    <t>Not Necessary</t>
  </si>
  <si>
    <t>Tax Equity and ITC Inputs</t>
  </si>
  <si>
    <t>MACRS Depreciation Schedule (%)</t>
  </si>
  <si>
    <t>ITC Rate (%)</t>
  </si>
  <si>
    <t>ITC Value ($)</t>
  </si>
  <si>
    <t>Depreciation Basis ($)</t>
  </si>
  <si>
    <t>PPA Term (years)</t>
  </si>
  <si>
    <t>Merchant Price ($/MWh, flat)</t>
  </si>
  <si>
    <t>Price Inputs</t>
  </si>
  <si>
    <t>n/a</t>
  </si>
  <si>
    <t>ITC Inputs</t>
  </si>
  <si>
    <t>ITC Rate</t>
  </si>
  <si>
    <t>ITC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</si>
</sst>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0.0%"/>
    <numFmt numFmtId="165" formatCode="0.00_);\(0.00\)"/>
    <numFmt numFmtId="166" formatCode="_(&quot;$&quot;* #,##0_);_(&quot;$&quot;* \(#,##0\);_(&quot;$&quot;* &quot;-&quot;??_);_(@_)"/>
    <numFmt numFmtId="167" formatCode="_(* #,##0_);_(* \(#,##0\);_(* &quot;-&quot;??_);_(@_)"/>
    <numFmt numFmtId="168" formatCode="0_);\(0\)"/>
    <numFmt numFmtId="169" formatCode="0.000_);\(0.000\)"/>
    <numFmt numFmtId="170" formatCode="0.00\x"/>
  </numFmts>
  <fonts count="12" x14ac:knownFonts="1">
    <font>
      <sz val="12"/>
      <color theme="1"/>
      <name val="Aptos Narrow"/>
      <family val="2"/>
      <scheme val="minor"/>
    </font>
    <font>
      <sz val="12"/>
      <color theme="1"/>
      <name val="Aptos Narrow"/>
      <family val="2"/>
      <scheme val="minor"/>
    </font>
    <font>
      <b/>
      <sz val="12"/>
      <color theme="1"/>
      <name val="Aptos Narrow"/>
      <scheme val="minor"/>
    </font>
    <font>
      <sz val="12"/>
      <color rgb="FF0000FF"/>
      <name val="Aptos Narrow"/>
      <family val="2"/>
      <scheme val="minor"/>
    </font>
    <font>
      <b/>
      <sz val="14"/>
      <color theme="1"/>
      <name val="Aptos Narrow (Body)"/>
    </font>
    <font>
      <b/>
      <sz val="12"/>
      <color theme="0"/>
      <name val="Aptos Narrow"/>
      <scheme val="minor"/>
    </font>
    <font>
      <i/>
      <sz val="12"/>
      <color theme="1"/>
      <name val="Aptos Narrow"/>
      <family val="2"/>
      <scheme val="minor"/>
    </font>
    <font>
      <sz val="11"/>
      <color rgb="FF000000"/>
      <name val="Calibri"/>
      <family val="2"/>
      <charset val="1"/>
    </font>
    <font>
      <b/>
      <sz val="11"/>
      <name val="Arial"/>
      <family val="2"/>
    </font>
    <font>
      <sz val="11"/>
      <color rgb="FF000000"/>
      <name val="Arial"/>
      <family val="2"/>
    </font>
    <font>
      <sz val="11"/>
      <color rgb="FF0000FF"/>
      <name val="Arial"/>
      <family val="2"/>
    </font>
    <font>
      <b/>
      <sz val="11"/>
      <color rgb="FF000000"/>
      <name val="Calibri"/>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3" tint="9.9978637043366805E-2"/>
        <bgColor indexed="64"/>
      </patternFill>
    </fill>
    <fill>
      <patternFill patternType="solid">
        <fgColor rgb="FFFFFF00"/>
        <bgColor rgb="FFFFFF00"/>
      </patternFill>
    </fill>
    <fill>
      <patternFill patternType="solid">
        <fgColor theme="0" tint="-0.34998626667073579"/>
        <bgColor rgb="FFFCE4D6"/>
      </patternFill>
    </fill>
    <fill>
      <patternFill patternType="solid">
        <fgColor theme="0" tint="-0.34998626667073579"/>
        <bgColor indexed="64"/>
      </patternFill>
    </fill>
  </fills>
  <borders count="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2" borderId="0" xfId="0" applyFont="1" applyFill="1"/>
    <xf numFmtId="0" fontId="0" fillId="0" borderId="1" xfId="0" applyBorder="1"/>
    <xf numFmtId="0" fontId="3" fillId="3" borderId="2" xfId="0" applyFont="1" applyFill="1" applyBorder="1"/>
    <xf numFmtId="0" fontId="0" fillId="0" borderId="3" xfId="0" applyBorder="1"/>
    <xf numFmtId="9" fontId="3" fillId="3" borderId="4" xfId="3" applyFont="1" applyFill="1" applyBorder="1"/>
    <xf numFmtId="164" fontId="3" fillId="3" borderId="4" xfId="3" applyNumberFormat="1" applyFont="1" applyFill="1" applyBorder="1"/>
    <xf numFmtId="0" fontId="3" fillId="3" borderId="4" xfId="0" applyFont="1" applyFill="1" applyBorder="1"/>
    <xf numFmtId="3" fontId="3" fillId="3" borderId="4" xfId="0" applyNumberFormat="1" applyFont="1" applyFill="1" applyBorder="1"/>
    <xf numFmtId="0" fontId="0" fillId="0" borderId="5" xfId="0" applyBorder="1"/>
    <xf numFmtId="9" fontId="3" fillId="3" borderId="6" xfId="3" applyFont="1" applyFill="1" applyBorder="1"/>
    <xf numFmtId="0" fontId="3" fillId="3" borderId="6" xfId="0" applyFont="1" applyFill="1" applyBorder="1"/>
    <xf numFmtId="0" fontId="2" fillId="2" borderId="0" xfId="0" applyFont="1" applyFill="1" applyAlignment="1">
      <alignment wrapText="1"/>
    </xf>
    <xf numFmtId="2" fontId="0" fillId="0" borderId="0" xfId="0" applyNumberFormat="1"/>
    <xf numFmtId="165" fontId="0" fillId="0" borderId="0" xfId="0" applyNumberFormat="1"/>
    <xf numFmtId="165" fontId="4" fillId="0" borderId="0" xfId="0" applyNumberFormat="1" applyFont="1"/>
    <xf numFmtId="165" fontId="2" fillId="0" borderId="0" xfId="0" applyNumberFormat="1" applyFont="1"/>
    <xf numFmtId="165" fontId="5" fillId="4" borderId="0" xfId="0" applyNumberFormat="1" applyFont="1" applyFill="1"/>
    <xf numFmtId="166" fontId="0" fillId="0" borderId="0" xfId="2" applyNumberFormat="1" applyFont="1"/>
    <xf numFmtId="43" fontId="0" fillId="0" borderId="0" xfId="1" applyFont="1"/>
    <xf numFmtId="167" fontId="0" fillId="0" borderId="0" xfId="1" applyNumberFormat="1" applyFont="1"/>
    <xf numFmtId="166" fontId="2" fillId="0" borderId="0" xfId="2" applyNumberFormat="1" applyFont="1"/>
    <xf numFmtId="168" fontId="5" fillId="4" borderId="0" xfId="0" applyNumberFormat="1" applyFont="1" applyFill="1"/>
    <xf numFmtId="1" fontId="5" fillId="4" borderId="0" xfId="0" applyNumberFormat="1" applyFont="1" applyFill="1"/>
    <xf numFmtId="169" fontId="0" fillId="0" borderId="0" xfId="0" applyNumberFormat="1"/>
    <xf numFmtId="166" fontId="0" fillId="0" borderId="0" xfId="1" applyNumberFormat="1" applyFont="1"/>
    <xf numFmtId="166" fontId="0" fillId="0" borderId="0" xfId="0" applyNumberFormat="1"/>
    <xf numFmtId="165" fontId="0" fillId="0" borderId="1" xfId="0" applyNumberFormat="1" applyBorder="1"/>
    <xf numFmtId="10" fontId="0" fillId="0" borderId="2" xfId="3" applyNumberFormat="1" applyFont="1" applyBorder="1"/>
    <xf numFmtId="165" fontId="0" fillId="0" borderId="5" xfId="0" applyNumberFormat="1" applyBorder="1"/>
    <xf numFmtId="166" fontId="0" fillId="0" borderId="6" xfId="2" applyNumberFormat="1" applyFont="1" applyBorder="1"/>
    <xf numFmtId="165" fontId="4" fillId="2" borderId="0" xfId="0" applyNumberFormat="1" applyFont="1" applyFill="1"/>
    <xf numFmtId="168" fontId="0" fillId="0" borderId="0" xfId="0" applyNumberFormat="1"/>
    <xf numFmtId="170" fontId="0" fillId="0" borderId="0" xfId="0" applyNumberFormat="1"/>
    <xf numFmtId="41" fontId="0" fillId="0" borderId="0" xfId="0" applyNumberFormat="1"/>
    <xf numFmtId="165" fontId="2" fillId="2" borderId="0" xfId="0" applyNumberFormat="1" applyFont="1" applyFill="1"/>
    <xf numFmtId="0" fontId="4" fillId="0" borderId="0" xfId="0" applyFont="1"/>
    <xf numFmtId="170" fontId="3" fillId="3" borderId="2" xfId="0" applyNumberFormat="1" applyFont="1" applyFill="1" applyBorder="1" applyAlignment="1">
      <alignment horizontal="left" indent="5"/>
    </xf>
    <xf numFmtId="0" fontId="6" fillId="0" borderId="0" xfId="0" applyFont="1" applyAlignment="1">
      <alignment wrapText="1"/>
    </xf>
    <xf numFmtId="170" fontId="3" fillId="3" borderId="2" xfId="0" applyNumberFormat="1" applyFont="1" applyFill="1" applyBorder="1" applyAlignment="1">
      <alignment horizontal="right" indent="5"/>
    </xf>
    <xf numFmtId="166" fontId="0" fillId="0" borderId="0" xfId="2" applyNumberFormat="1" applyFont="1" applyBorder="1"/>
    <xf numFmtId="10" fontId="0" fillId="0" borderId="0" xfId="0" applyNumberFormat="1"/>
    <xf numFmtId="9" fontId="3" fillId="0" borderId="0" xfId="3" applyFont="1" applyBorder="1"/>
    <xf numFmtId="9" fontId="3" fillId="0" borderId="0" xfId="3" applyFont="1"/>
    <xf numFmtId="10" fontId="3" fillId="0" borderId="0" xfId="3" applyNumberFormat="1" applyFont="1"/>
    <xf numFmtId="166" fontId="2" fillId="0" borderId="0" xfId="2" applyNumberFormat="1" applyFont="1" applyBorder="1"/>
    <xf numFmtId="10" fontId="2" fillId="0" borderId="2" xfId="3" applyNumberFormat="1" applyFont="1" applyBorder="1"/>
    <xf numFmtId="166" fontId="2" fillId="0" borderId="6" xfId="2" applyNumberFormat="1" applyFont="1" applyBorder="1"/>
    <xf numFmtId="0" fontId="3" fillId="0" borderId="2" xfId="0" applyFont="1" applyBorder="1"/>
    <xf numFmtId="0" fontId="7" fillId="0" borderId="0" xfId="0" applyFont="1"/>
    <xf numFmtId="0" fontId="8" fillId="6" borderId="0" xfId="0" applyFont="1" applyFill="1"/>
    <xf numFmtId="0" fontId="9" fillId="0" borderId="7" xfId="0" applyFont="1" applyBorder="1"/>
    <xf numFmtId="1" fontId="10" fillId="5" borderId="7" xfId="0" applyNumberFormat="1" applyFont="1" applyFill="1" applyBorder="1"/>
    <xf numFmtId="0" fontId="9" fillId="0" borderId="7" xfId="0" applyFont="1" applyBorder="1" applyAlignment="1">
      <alignment wrapText="1"/>
    </xf>
    <xf numFmtId="2" fontId="10" fillId="5" borderId="7" xfId="0" applyNumberFormat="1" applyFont="1" applyFill="1" applyBorder="1"/>
    <xf numFmtId="0" fontId="11" fillId="7" borderId="0" xfId="0" applyFont="1" applyFill="1"/>
    <xf numFmtId="0" fontId="7" fillId="0" borderId="1" xfId="0" applyFont="1" applyBorder="1"/>
    <xf numFmtId="0" fontId="7" fillId="0" borderId="5" xfId="0" applyFont="1" applyBorder="1"/>
    <xf numFmtId="9" fontId="3" fillId="3" borderId="2" xfId="0" applyNumberFormat="1" applyFont="1" applyFill="1" applyBorder="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DSCR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'Flat Debt Model'!$C$35:$Q$35</c:f>
              <c:numCache>
                <c:formatCode>0_);\(0\)</c:formatCode>
                <c:ptCount val="15"/>
                <c:pt idx="0">
                  <c:v>1</c:v>
                </c:pt>
                <c:pt idx="1">
                  <c:v>2</c:v>
                </c:pt>
                <c:pt idx="2">
                  <c:v>3</c:v>
                </c:pt>
                <c:pt idx="3" formatCode="0">
                  <c:v>4</c:v>
                </c:pt>
                <c:pt idx="4" formatCode="0">
                  <c:v>5</c:v>
                </c:pt>
                <c:pt idx="5">
                  <c:v>6</c:v>
                </c:pt>
                <c:pt idx="6">
                  <c:v>7</c:v>
                </c:pt>
                <c:pt idx="7">
                  <c:v>8</c:v>
                </c:pt>
                <c:pt idx="8">
                  <c:v>9</c:v>
                </c:pt>
                <c:pt idx="9">
                  <c:v>10</c:v>
                </c:pt>
                <c:pt idx="10">
                  <c:v>11</c:v>
                </c:pt>
                <c:pt idx="11">
                  <c:v>12</c:v>
                </c:pt>
                <c:pt idx="12">
                  <c:v>13</c:v>
                </c:pt>
                <c:pt idx="13">
                  <c:v>14</c:v>
                </c:pt>
                <c:pt idx="14">
                  <c:v>15</c:v>
                </c:pt>
              </c:numCache>
            </c:numRef>
          </c:cat>
          <c:val>
            <c:numRef>
              <c:f>'Flat Debt Model'!$C$42:$Q$42</c:f>
              <c:numCache>
                <c:formatCode>0.00\x</c:formatCode>
                <c:ptCount val="15"/>
                <c:pt idx="0">
                  <c:v>0.76527067669172921</c:v>
                </c:pt>
                <c:pt idx="1">
                  <c:v>0.7954640881211178</c:v>
                </c:pt>
                <c:pt idx="2">
                  <c:v>0.82771801424485314</c:v>
                </c:pt>
                <c:pt idx="3">
                  <c:v>0.86224775218076977</c:v>
                </c:pt>
                <c:pt idx="4">
                  <c:v>0.89929971053419189</c:v>
                </c:pt>
                <c:pt idx="5">
                  <c:v>0.93915724238324316</c:v>
                </c:pt>
                <c:pt idx="6">
                  <c:v>0.98214784180952563</c:v>
                </c:pt>
                <c:pt idx="7">
                  <c:v>1.0286520909260342</c:v>
                </c:pt>
                <c:pt idx="8">
                  <c:v>1.0791148751547752</c:v>
                </c:pt>
                <c:pt idx="9">
                  <c:v>1.1340595672427394</c:v>
                </c:pt>
                <c:pt idx="10">
                  <c:v>1.1941061391468193</c:v>
                </c:pt>
                <c:pt idx="11">
                  <c:v>1.2599945321946342</c:v>
                </c:pt>
                <c:pt idx="12">
                  <c:v>1.3326151571106846</c:v>
                </c:pt>
                <c:pt idx="13">
                  <c:v>1.4130491976070383</c:v>
                </c:pt>
                <c:pt idx="14">
                  <c:v>1.5026226019694253</c:v>
                </c:pt>
              </c:numCache>
            </c:numRef>
          </c:val>
          <c:smooth val="0"/>
          <c:extLst>
            <c:ext xmlns:c16="http://schemas.microsoft.com/office/drawing/2014/chart" uri="{C3380CC4-5D6E-409C-BE32-E72D297353CC}">
              <c16:uniqueId val="{00000000-64B5-DE41-99C4-A6511ADC401F}"/>
            </c:ext>
          </c:extLst>
        </c:ser>
        <c:ser>
          <c:idx val="1"/>
          <c:order val="1"/>
          <c:tx>
            <c:strRef>
              <c:f>'Flat Debt Model'!$A$50</c:f>
              <c:strCache>
                <c:ptCount val="1"/>
                <c:pt idx="0">
                  <c:v>Target DSCR</c:v>
                </c:pt>
              </c:strCache>
            </c:strRef>
          </c:tx>
          <c:spPr>
            <a:ln w="28575" cap="rnd">
              <a:solidFill>
                <a:schemeClr val="accent2"/>
              </a:solidFill>
              <a:prstDash val="dash"/>
              <a:round/>
            </a:ln>
            <a:effectLst/>
          </c:spPr>
          <c:marker>
            <c:symbol val="none"/>
          </c:marker>
          <c:val>
            <c:numRef>
              <c:f>'Flat Debt Model'!$C$50:$Q$50</c:f>
              <c:numCache>
                <c:formatCode>0.00_);\(0.00\)</c:formatCode>
                <c:ptCount val="15"/>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numCache>
            </c:numRef>
          </c:val>
          <c:smooth val="0"/>
          <c:extLst>
            <c:ext xmlns:c16="http://schemas.microsoft.com/office/drawing/2014/chart" uri="{C3380CC4-5D6E-409C-BE32-E72D297353CC}">
              <c16:uniqueId val="{00000006-64B5-DE41-99C4-A6511ADC401F}"/>
            </c:ext>
          </c:extLst>
        </c:ser>
        <c:dLbls>
          <c:showLegendKey val="0"/>
          <c:showVal val="0"/>
          <c:showCatName val="0"/>
          <c:showSerName val="0"/>
          <c:showPercent val="0"/>
          <c:showBubbleSize val="0"/>
        </c:dLbls>
        <c:smooth val="0"/>
        <c:axId val="1508122863"/>
        <c:axId val="1508891823"/>
      </c:lineChart>
      <c:catAx>
        <c:axId val="1508122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91823"/>
        <c:crosses val="autoZero"/>
        <c:auto val="1"/>
        <c:lblAlgn val="ctr"/>
        <c:lblOffset val="100"/>
        <c:noMultiLvlLbl val="0"/>
      </c:catAx>
      <c:valAx>
        <c:axId val="1508891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DSCR Multiple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22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Unlevered vs. Levered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Unlevered </c:v>
          </c:tx>
          <c:spPr>
            <a:ln w="28575" cap="rnd">
              <a:solidFill>
                <a:schemeClr val="accent2"/>
              </a:solidFill>
              <a:round/>
            </a:ln>
            <a:effectLst/>
          </c:spPr>
          <c:marker>
            <c:symbol val="none"/>
          </c:marker>
          <c:val>
            <c:numRef>
              <c:f>'Flat Debt Model'!$C$27:$V$27</c:f>
              <c:numCache>
                <c:formatCode>_("$"* #,##0_);_("$"* \(#,##0\);_("$"* "-"??_);_(@_)</c:formatCode>
                <c:ptCount val="20"/>
                <c:pt idx="0">
                  <c:v>6785400</c:v>
                </c:pt>
                <c:pt idx="1">
                  <c:v>6830384.9699999988</c:v>
                </c:pt>
                <c:pt idx="2">
                  <c:v>6875577.6383272475</c:v>
                </c:pt>
                <c:pt idx="3">
                  <c:v>6920975.2908376465</c:v>
                </c:pt>
                <c:pt idx="4">
                  <c:v>6966575.0909382077</c:v>
                </c:pt>
                <c:pt idx="5">
                  <c:v>7012374.0764615498</c:v>
                </c:pt>
                <c:pt idx="6">
                  <c:v>7058369.1564711258</c:v>
                </c:pt>
                <c:pt idx="7">
                  <c:v>7104557.1079958109</c:v>
                </c:pt>
                <c:pt idx="8">
                  <c:v>7150934.5726923114</c:v>
                </c:pt>
                <c:pt idx="9">
                  <c:v>7197498.0534339203</c:v>
                </c:pt>
                <c:pt idx="10">
                  <c:v>7244243.910824039</c:v>
                </c:pt>
                <c:pt idx="11">
                  <c:v>7291168.3596329512</c:v>
                </c:pt>
                <c:pt idx="12">
                  <c:v>7338267.4651561715</c:v>
                </c:pt>
                <c:pt idx="13">
                  <c:v>7385537.1394927884</c:v>
                </c:pt>
                <c:pt idx="14">
                  <c:v>7432973.1377420928</c:v>
                </c:pt>
                <c:pt idx="15">
                  <c:v>7480571.0541168218</c:v>
                </c:pt>
                <c:pt idx="16">
                  <c:v>7528326.3179712193</c:v>
                </c:pt>
                <c:pt idx="17">
                  <c:v>7576234.1897422196</c:v>
                </c:pt>
                <c:pt idx="18">
                  <c:v>7624289.7568018492</c:v>
                </c:pt>
                <c:pt idx="19">
                  <c:v>7672487.9292190745</c:v>
                </c:pt>
              </c:numCache>
            </c:numRef>
          </c:val>
          <c:smooth val="0"/>
          <c:extLst>
            <c:ext xmlns:c16="http://schemas.microsoft.com/office/drawing/2014/chart" uri="{C3380CC4-5D6E-409C-BE32-E72D297353CC}">
              <c16:uniqueId val="{00000000-77D2-964F-81D1-F9BBE682A023}"/>
            </c:ext>
          </c:extLst>
        </c:ser>
        <c:ser>
          <c:idx val="2"/>
          <c:order val="1"/>
          <c:tx>
            <c:v>Levered</c:v>
          </c:tx>
          <c:spPr>
            <a:ln w="28575" cap="rnd">
              <a:solidFill>
                <a:schemeClr val="accent3"/>
              </a:solidFill>
              <a:round/>
            </a:ln>
            <a:effectLst/>
          </c:spPr>
          <c:marker>
            <c:symbol val="none"/>
          </c:marker>
          <c:val>
            <c:numRef>
              <c:f>'Flat Debt Model'!$C$43:$V$43</c:f>
              <c:numCache>
                <c:formatCode>_("$"* #,##0_);_("$"* \(#,##0\);_("$"* "-"??_);_(@_)</c:formatCode>
                <c:ptCount val="20"/>
                <c:pt idx="0">
                  <c:v>-2081266.6666666679</c:v>
                </c:pt>
                <c:pt idx="1">
                  <c:v>-1756281.6966666691</c:v>
                </c:pt>
                <c:pt idx="2">
                  <c:v>-1431089.0283394195</c:v>
                </c:pt>
                <c:pt idx="3">
                  <c:v>-1105691.3758290214</c:v>
                </c:pt>
                <c:pt idx="4">
                  <c:v>-780091.57572846022</c:v>
                </c:pt>
                <c:pt idx="5">
                  <c:v>-454292.59020511806</c:v>
                </c:pt>
                <c:pt idx="6">
                  <c:v>-128297.51019554213</c:v>
                </c:pt>
                <c:pt idx="7">
                  <c:v>197890.44132914301</c:v>
                </c:pt>
                <c:pt idx="8">
                  <c:v>524267.90602564346</c:v>
                </c:pt>
                <c:pt idx="9">
                  <c:v>850831.38676725235</c:v>
                </c:pt>
                <c:pt idx="10">
                  <c:v>1177577.2441573711</c:v>
                </c:pt>
                <c:pt idx="11">
                  <c:v>1504501.6929662833</c:v>
                </c:pt>
                <c:pt idx="12">
                  <c:v>1831600.7984895036</c:v>
                </c:pt>
                <c:pt idx="13">
                  <c:v>2158870.4728261204</c:v>
                </c:pt>
                <c:pt idx="14">
                  <c:v>2486306.4710754249</c:v>
                </c:pt>
                <c:pt idx="15">
                  <c:v>7480571.0541168218</c:v>
                </c:pt>
                <c:pt idx="16">
                  <c:v>7528326.3179712193</c:v>
                </c:pt>
                <c:pt idx="17">
                  <c:v>7576234.1897422196</c:v>
                </c:pt>
                <c:pt idx="18">
                  <c:v>7624289.7568018492</c:v>
                </c:pt>
                <c:pt idx="19">
                  <c:v>7672487.9292190745</c:v>
                </c:pt>
              </c:numCache>
            </c:numRef>
          </c:val>
          <c:smooth val="0"/>
          <c:extLst>
            <c:ext xmlns:c16="http://schemas.microsoft.com/office/drawing/2014/chart" uri="{C3380CC4-5D6E-409C-BE32-E72D297353CC}">
              <c16:uniqueId val="{00000001-77D2-964F-81D1-F9BBE682A023}"/>
            </c:ext>
          </c:extLst>
        </c:ser>
        <c:dLbls>
          <c:showLegendKey val="0"/>
          <c:showVal val="0"/>
          <c:showCatName val="0"/>
          <c:showSerName val="0"/>
          <c:showPercent val="0"/>
          <c:showBubbleSize val="0"/>
        </c:dLbls>
        <c:smooth val="0"/>
        <c:axId val="2081294063"/>
        <c:axId val="1485679263"/>
      </c:lineChart>
      <c:catAx>
        <c:axId val="208129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79263"/>
        <c:crosses val="autoZero"/>
        <c:auto val="1"/>
        <c:lblAlgn val="ctr"/>
        <c:lblOffset val="100"/>
        <c:noMultiLvlLbl val="0"/>
      </c:catAx>
      <c:valAx>
        <c:axId val="1485679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Cash Flow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9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292100</xdr:colOff>
      <xdr:row>2</xdr:row>
      <xdr:rowOff>63500</xdr:rowOff>
    </xdr:from>
    <xdr:to>
      <xdr:col>7</xdr:col>
      <xdr:colOff>368300</xdr:colOff>
      <xdr:row>17</xdr:row>
      <xdr:rowOff>114300</xdr:rowOff>
    </xdr:to>
    <xdr:graphicFrame macro="">
      <xdr:nvGraphicFramePr>
        <xdr:cNvPr id="3" name="Chart 2">
          <a:extLst>
            <a:ext uri="{FF2B5EF4-FFF2-40B4-BE49-F238E27FC236}">
              <a16:creationId xmlns:a16="http://schemas.microsoft.com/office/drawing/2014/main" id="{AF4413DA-6357-7944-AD9D-BB7A1F641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203199</xdr:rowOff>
    </xdr:from>
    <xdr:to>
      <xdr:col>8</xdr:col>
      <xdr:colOff>406399</xdr:colOff>
      <xdr:row>39</xdr:row>
      <xdr:rowOff>33866</xdr:rowOff>
    </xdr:to>
    <xdr:graphicFrame macro="">
      <xdr:nvGraphicFramePr>
        <xdr:cNvPr id="4" name="Chart 3">
          <a:extLst>
            <a:ext uri="{FF2B5EF4-FFF2-40B4-BE49-F238E27FC236}">
              <a16:creationId xmlns:a16="http://schemas.microsoft.com/office/drawing/2014/main" id="{DBB6929C-FB10-F142-B702-761AA0EAB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C244-FA6E-3C41-9E1B-094DA444E88B}">
  <dimension ref="A1:AQ145"/>
  <sheetViews>
    <sheetView workbookViewId="0">
      <pane xSplit="2" ySplit="12" topLeftCell="M29" activePane="bottomRight" state="frozen"/>
      <selection pane="topRight" activeCell="C1" sqref="C1"/>
      <selection pane="bottomLeft" activeCell="A13" sqref="A13"/>
      <selection pane="bottomRight" activeCell="B23" sqref="B23"/>
    </sheetView>
  </sheetViews>
  <sheetFormatPr baseColWidth="10" defaultRowHeight="16" x14ac:dyDescent="0.2"/>
  <cols>
    <col min="1" max="1" width="24.33203125" customWidth="1"/>
    <col min="2" max="2" width="17" customWidth="1"/>
    <col min="3" max="3" width="17.1640625" bestFit="1" customWidth="1"/>
    <col min="4" max="4" width="15.1640625" customWidth="1"/>
    <col min="5" max="5" width="16" customWidth="1"/>
    <col min="6" max="6" width="16.6640625" customWidth="1"/>
    <col min="7" max="7" width="15.5" customWidth="1"/>
    <col min="8" max="8" width="14.33203125" customWidth="1"/>
    <col min="9" max="9" width="15.5" customWidth="1"/>
    <col min="10" max="10" width="15.33203125" customWidth="1"/>
    <col min="11" max="11" width="16.5" customWidth="1"/>
    <col min="12" max="12" width="15" customWidth="1"/>
    <col min="13" max="13" width="16" customWidth="1"/>
    <col min="14" max="14" width="16.6640625" customWidth="1"/>
    <col min="15" max="15" width="16.33203125" customWidth="1"/>
    <col min="16" max="16" width="15" customWidth="1"/>
    <col min="17" max="17" width="16" customWidth="1"/>
    <col min="18" max="18" width="18.6640625" customWidth="1"/>
    <col min="19" max="19" width="15.6640625" customWidth="1"/>
    <col min="20" max="21" width="15.83203125" customWidth="1"/>
    <col min="22" max="22" width="17.6640625" customWidth="1"/>
  </cols>
  <sheetData>
    <row r="1" spans="1:43" ht="34" x14ac:dyDescent="0.2">
      <c r="A1" s="1" t="s">
        <v>0</v>
      </c>
      <c r="E1" s="12" t="s">
        <v>11</v>
      </c>
    </row>
    <row r="2" spans="1:43" x14ac:dyDescent="0.2">
      <c r="A2" s="2" t="s">
        <v>1</v>
      </c>
      <c r="B2" s="3">
        <v>100</v>
      </c>
      <c r="E2" s="2" t="s">
        <v>12</v>
      </c>
      <c r="F2" s="37">
        <v>1.3</v>
      </c>
    </row>
    <row r="3" spans="1:43" x14ac:dyDescent="0.2">
      <c r="A3" s="4" t="s">
        <v>2</v>
      </c>
      <c r="B3" s="5">
        <v>0.25</v>
      </c>
      <c r="E3" s="4" t="s">
        <v>13</v>
      </c>
      <c r="F3" s="5">
        <v>0.7</v>
      </c>
    </row>
    <row r="4" spans="1:43" x14ac:dyDescent="0.2">
      <c r="A4" s="4" t="s">
        <v>3</v>
      </c>
      <c r="B4" s="6">
        <v>5.0000000000000001E-3</v>
      </c>
      <c r="E4" s="4" t="s">
        <v>14</v>
      </c>
      <c r="F4" s="5">
        <v>0.06</v>
      </c>
    </row>
    <row r="5" spans="1:43" x14ac:dyDescent="0.2">
      <c r="A5" s="4" t="s">
        <v>4</v>
      </c>
      <c r="B5" s="7">
        <v>40</v>
      </c>
      <c r="C5" s="19"/>
      <c r="E5" s="9" t="s">
        <v>15</v>
      </c>
      <c r="F5" s="11">
        <v>15</v>
      </c>
    </row>
    <row r="6" spans="1:43" x14ac:dyDescent="0.2">
      <c r="A6" s="4" t="s">
        <v>5</v>
      </c>
      <c r="B6" s="5">
        <v>1.4999999999999999E-2</v>
      </c>
    </row>
    <row r="7" spans="1:43" x14ac:dyDescent="0.2">
      <c r="A7" s="4" t="s">
        <v>6</v>
      </c>
      <c r="B7" s="8">
        <v>15000</v>
      </c>
    </row>
    <row r="8" spans="1:43" x14ac:dyDescent="0.2">
      <c r="A8" s="4" t="s">
        <v>7</v>
      </c>
      <c r="B8" s="5">
        <v>0.02</v>
      </c>
    </row>
    <row r="9" spans="1:43" x14ac:dyDescent="0.2">
      <c r="A9" s="4" t="s">
        <v>8</v>
      </c>
      <c r="B9" s="8">
        <v>1000000</v>
      </c>
    </row>
    <row r="10" spans="1:43" x14ac:dyDescent="0.2">
      <c r="A10" s="4" t="s">
        <v>9</v>
      </c>
      <c r="B10" s="5">
        <v>0.21</v>
      </c>
    </row>
    <row r="11" spans="1:43" x14ac:dyDescent="0.2">
      <c r="A11" s="9" t="s">
        <v>10</v>
      </c>
      <c r="B11" s="10">
        <v>0.08</v>
      </c>
    </row>
    <row r="12" spans="1:43"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row>
    <row r="13" spans="1:43" ht="19" x14ac:dyDescent="0.25">
      <c r="A13" s="15" t="s">
        <v>16</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row>
    <row r="14" spans="1:43" x14ac:dyDescent="0.2">
      <c r="A14" s="16" t="s">
        <v>17</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row>
    <row r="15" spans="1:43" x14ac:dyDescent="0.2">
      <c r="A15" s="17" t="s">
        <v>18</v>
      </c>
      <c r="B15" s="22">
        <v>0</v>
      </c>
      <c r="C15" s="22">
        <f>B15+1</f>
        <v>1</v>
      </c>
      <c r="D15" s="22">
        <f t="shared" ref="D15:U15" si="0">C15+1</f>
        <v>2</v>
      </c>
      <c r="E15" s="22">
        <f t="shared" si="0"/>
        <v>3</v>
      </c>
      <c r="F15" s="23">
        <f t="shared" si="0"/>
        <v>4</v>
      </c>
      <c r="G15" s="23">
        <f t="shared" si="0"/>
        <v>5</v>
      </c>
      <c r="H15" s="22">
        <f t="shared" si="0"/>
        <v>6</v>
      </c>
      <c r="I15" s="22">
        <f t="shared" si="0"/>
        <v>7</v>
      </c>
      <c r="J15" s="22">
        <f t="shared" si="0"/>
        <v>8</v>
      </c>
      <c r="K15" s="22">
        <f t="shared" si="0"/>
        <v>9</v>
      </c>
      <c r="L15" s="22">
        <f t="shared" si="0"/>
        <v>10</v>
      </c>
      <c r="M15" s="22">
        <f t="shared" si="0"/>
        <v>11</v>
      </c>
      <c r="N15" s="22">
        <f t="shared" si="0"/>
        <v>12</v>
      </c>
      <c r="O15" s="22">
        <f t="shared" si="0"/>
        <v>13</v>
      </c>
      <c r="P15" s="22">
        <f t="shared" si="0"/>
        <v>14</v>
      </c>
      <c r="Q15" s="22">
        <f t="shared" si="0"/>
        <v>15</v>
      </c>
      <c r="R15" s="22">
        <f t="shared" si="0"/>
        <v>16</v>
      </c>
      <c r="S15" s="22">
        <f t="shared" si="0"/>
        <v>17</v>
      </c>
      <c r="T15" s="22">
        <f t="shared" si="0"/>
        <v>18</v>
      </c>
      <c r="U15" s="22">
        <f t="shared" si="0"/>
        <v>19</v>
      </c>
      <c r="V15" s="22">
        <f>U15+1</f>
        <v>20</v>
      </c>
      <c r="W15" s="14"/>
      <c r="X15" s="14"/>
      <c r="Y15" s="14"/>
      <c r="Z15" s="14"/>
      <c r="AA15" s="14"/>
      <c r="AB15" s="14"/>
      <c r="AC15" s="14"/>
      <c r="AD15" s="14"/>
      <c r="AE15" s="14"/>
      <c r="AF15" s="14"/>
      <c r="AG15" s="14"/>
      <c r="AH15" s="14"/>
      <c r="AI15" s="14"/>
      <c r="AJ15" s="14"/>
      <c r="AK15" s="14"/>
      <c r="AL15" s="14"/>
      <c r="AM15" s="14"/>
      <c r="AN15" s="14"/>
      <c r="AO15" s="14"/>
      <c r="AP15" s="14"/>
      <c r="AQ15" s="14"/>
    </row>
    <row r="16" spans="1:43" x14ac:dyDescent="0.2">
      <c r="A16" s="14" t="s">
        <v>19</v>
      </c>
      <c r="B16" s="14"/>
      <c r="C16" s="13">
        <v>1</v>
      </c>
      <c r="D16" s="24">
        <f>C16*(1-$B$4)</f>
        <v>0.995</v>
      </c>
      <c r="E16" s="24">
        <f t="shared" ref="E16:V16" si="1">D16*(1-$B$4)</f>
        <v>0.99002500000000004</v>
      </c>
      <c r="F16" s="24">
        <f t="shared" si="1"/>
        <v>0.98507487500000002</v>
      </c>
      <c r="G16" s="24">
        <f t="shared" si="1"/>
        <v>0.98014950062500006</v>
      </c>
      <c r="H16" s="24">
        <f t="shared" si="1"/>
        <v>0.97524875312187509</v>
      </c>
      <c r="I16" s="24">
        <f t="shared" si="1"/>
        <v>0.97037250935626573</v>
      </c>
      <c r="J16" s="24">
        <f t="shared" si="1"/>
        <v>0.96552064680948435</v>
      </c>
      <c r="K16" s="24">
        <f t="shared" si="1"/>
        <v>0.96069304357543694</v>
      </c>
      <c r="L16" s="24">
        <f t="shared" si="1"/>
        <v>0.95588957835755972</v>
      </c>
      <c r="M16" s="24">
        <f t="shared" si="1"/>
        <v>0.95111013046577186</v>
      </c>
      <c r="N16" s="24">
        <f t="shared" si="1"/>
        <v>0.94635457981344295</v>
      </c>
      <c r="O16" s="24">
        <f t="shared" si="1"/>
        <v>0.94162280691437572</v>
      </c>
      <c r="P16" s="24">
        <f t="shared" si="1"/>
        <v>0.93691469287980389</v>
      </c>
      <c r="Q16" s="24">
        <f t="shared" si="1"/>
        <v>0.9322301194154049</v>
      </c>
      <c r="R16" s="24">
        <f t="shared" si="1"/>
        <v>0.92756896881832784</v>
      </c>
      <c r="S16" s="24">
        <f t="shared" si="1"/>
        <v>0.92293112397423616</v>
      </c>
      <c r="T16" s="24">
        <f t="shared" si="1"/>
        <v>0.91831646835436498</v>
      </c>
      <c r="U16" s="24">
        <f t="shared" si="1"/>
        <v>0.91372488601259316</v>
      </c>
      <c r="V16" s="24">
        <f t="shared" si="1"/>
        <v>0.90915626158253016</v>
      </c>
      <c r="W16" s="14"/>
      <c r="X16" s="14"/>
      <c r="Y16" s="14"/>
      <c r="Z16" s="14"/>
      <c r="AA16" s="14"/>
      <c r="AB16" s="14"/>
      <c r="AC16" s="14"/>
      <c r="AD16" s="14"/>
      <c r="AE16" s="14"/>
      <c r="AF16" s="14"/>
      <c r="AG16" s="14"/>
      <c r="AH16" s="14"/>
      <c r="AI16" s="14"/>
      <c r="AJ16" s="14"/>
      <c r="AK16" s="14"/>
      <c r="AL16" s="14"/>
      <c r="AM16" s="14"/>
      <c r="AN16" s="14"/>
      <c r="AO16" s="14"/>
      <c r="AP16" s="14"/>
      <c r="AQ16" s="14"/>
    </row>
    <row r="17" spans="1:43" x14ac:dyDescent="0.2">
      <c r="A17" s="14" t="s">
        <v>20</v>
      </c>
      <c r="B17" s="14"/>
      <c r="C17" s="20">
        <f>$B$2*$B$3*8760*C16</f>
        <v>219000</v>
      </c>
      <c r="D17" s="20">
        <f>$B$2*$B$3*8760*D16</f>
        <v>217905</v>
      </c>
      <c r="E17" s="20">
        <f t="shared" ref="E17:V17" si="2">$B$2*$B$3*8760*E16</f>
        <v>216815.47500000001</v>
      </c>
      <c r="F17" s="20">
        <f t="shared" si="2"/>
        <v>215731.39762500001</v>
      </c>
      <c r="G17" s="20">
        <f t="shared" si="2"/>
        <v>214652.74063687501</v>
      </c>
      <c r="H17" s="20">
        <f t="shared" si="2"/>
        <v>213579.47693369063</v>
      </c>
      <c r="I17" s="20">
        <f t="shared" si="2"/>
        <v>212511.57954902219</v>
      </c>
      <c r="J17" s="20">
        <f t="shared" si="2"/>
        <v>211449.02165127709</v>
      </c>
      <c r="K17" s="20">
        <f t="shared" si="2"/>
        <v>210391.77654302068</v>
      </c>
      <c r="L17" s="20">
        <f t="shared" si="2"/>
        <v>209339.81766030559</v>
      </c>
      <c r="M17" s="20">
        <f t="shared" si="2"/>
        <v>208293.11857200405</v>
      </c>
      <c r="N17" s="20">
        <f t="shared" si="2"/>
        <v>207251.65297914401</v>
      </c>
      <c r="O17" s="20">
        <f t="shared" si="2"/>
        <v>206215.39471424828</v>
      </c>
      <c r="P17" s="20">
        <f t="shared" si="2"/>
        <v>205184.31774067704</v>
      </c>
      <c r="Q17" s="20">
        <f t="shared" si="2"/>
        <v>204158.39615197366</v>
      </c>
      <c r="R17" s="20">
        <f t="shared" si="2"/>
        <v>203137.60417121381</v>
      </c>
      <c r="S17" s="20">
        <f t="shared" si="2"/>
        <v>202121.91615035772</v>
      </c>
      <c r="T17" s="20">
        <f t="shared" si="2"/>
        <v>201111.30656960592</v>
      </c>
      <c r="U17" s="20">
        <f t="shared" si="2"/>
        <v>200105.75003675791</v>
      </c>
      <c r="V17" s="20">
        <f t="shared" si="2"/>
        <v>199105.22128657412</v>
      </c>
      <c r="W17" s="14"/>
      <c r="X17" s="14"/>
      <c r="Y17" s="14"/>
      <c r="Z17" s="14"/>
      <c r="AA17" s="14"/>
      <c r="AB17" s="14"/>
      <c r="AC17" s="14"/>
      <c r="AD17" s="14"/>
      <c r="AE17" s="14"/>
      <c r="AF17" s="14"/>
      <c r="AG17" s="14"/>
      <c r="AH17" s="14"/>
      <c r="AI17" s="14"/>
      <c r="AJ17" s="14"/>
      <c r="AK17" s="14"/>
      <c r="AL17" s="14"/>
      <c r="AM17" s="14"/>
      <c r="AN17" s="14"/>
      <c r="AO17" s="14"/>
      <c r="AP17" s="14"/>
      <c r="AQ17" s="14"/>
    </row>
    <row r="18" spans="1:43" x14ac:dyDescent="0.2">
      <c r="A18" s="14" t="s">
        <v>4</v>
      </c>
      <c r="B18" s="14"/>
      <c r="C18" s="14">
        <f>B5</f>
        <v>40</v>
      </c>
      <c r="D18" s="14">
        <f>C18*(1+$B$6)</f>
        <v>40.599999999999994</v>
      </c>
      <c r="E18" s="14">
        <f t="shared" ref="E18:V18" si="3">D18*(1+$B$6)</f>
        <v>41.208999999999989</v>
      </c>
      <c r="F18" s="14">
        <f t="shared" si="3"/>
        <v>41.827134999999984</v>
      </c>
      <c r="G18" s="14">
        <f t="shared" si="3"/>
        <v>42.454542024999981</v>
      </c>
      <c r="H18" s="14">
        <f t="shared" si="3"/>
        <v>43.091360155374979</v>
      </c>
      <c r="I18" s="14">
        <f t="shared" si="3"/>
        <v>43.737730557705596</v>
      </c>
      <c r="J18" s="14">
        <f t="shared" si="3"/>
        <v>44.393796516071177</v>
      </c>
      <c r="K18" s="14">
        <f t="shared" si="3"/>
        <v>45.059703463812241</v>
      </c>
      <c r="L18" s="14">
        <f t="shared" si="3"/>
        <v>45.735599015769424</v>
      </c>
      <c r="M18" s="14">
        <f t="shared" si="3"/>
        <v>46.421633001005958</v>
      </c>
      <c r="N18" s="14">
        <f t="shared" si="3"/>
        <v>47.117957496021042</v>
      </c>
      <c r="O18" s="14">
        <f t="shared" si="3"/>
        <v>47.824726858461354</v>
      </c>
      <c r="P18" s="14">
        <f t="shared" si="3"/>
        <v>48.542097761338269</v>
      </c>
      <c r="Q18" s="14">
        <f t="shared" si="3"/>
        <v>49.270229227758335</v>
      </c>
      <c r="R18" s="14">
        <f t="shared" si="3"/>
        <v>50.009282666174705</v>
      </c>
      <c r="S18" s="14">
        <f t="shared" si="3"/>
        <v>50.759421906167319</v>
      </c>
      <c r="T18" s="14">
        <f t="shared" si="3"/>
        <v>51.520813234759821</v>
      </c>
      <c r="U18" s="14">
        <f t="shared" si="3"/>
        <v>52.293625433281214</v>
      </c>
      <c r="V18" s="14">
        <f t="shared" si="3"/>
        <v>53.078029814780429</v>
      </c>
      <c r="W18" s="14"/>
      <c r="X18" s="14"/>
      <c r="Y18" s="14"/>
      <c r="Z18" s="14"/>
      <c r="AA18" s="14"/>
      <c r="AB18" s="14"/>
      <c r="AC18" s="14"/>
      <c r="AD18" s="14"/>
      <c r="AE18" s="14"/>
      <c r="AF18" s="14"/>
      <c r="AG18" s="14"/>
      <c r="AH18" s="14"/>
      <c r="AI18" s="14"/>
      <c r="AJ18" s="14"/>
      <c r="AK18" s="14"/>
      <c r="AL18" s="14"/>
      <c r="AM18" s="14"/>
      <c r="AN18" s="14"/>
      <c r="AO18" s="14"/>
      <c r="AP18" s="14"/>
      <c r="AQ18" s="14"/>
    </row>
    <row r="19" spans="1:43" x14ac:dyDescent="0.2">
      <c r="A19" s="14" t="s">
        <v>21</v>
      </c>
      <c r="B19" s="14"/>
      <c r="C19" s="18">
        <f>C17*C18</f>
        <v>8760000</v>
      </c>
      <c r="D19" s="18">
        <f>D17*D18</f>
        <v>8846942.9999999981</v>
      </c>
      <c r="E19" s="18">
        <f t="shared" ref="E19:V19" si="4">E17*E18</f>
        <v>8934748.9092749972</v>
      </c>
      <c r="F19" s="18">
        <f t="shared" si="4"/>
        <v>9023426.2921995521</v>
      </c>
      <c r="G19" s="18">
        <f t="shared" si="4"/>
        <v>9112983.7981496304</v>
      </c>
      <c r="H19" s="18">
        <f t="shared" si="4"/>
        <v>9203430.1623462662</v>
      </c>
      <c r="I19" s="18">
        <f t="shared" si="4"/>
        <v>9294774.2067075521</v>
      </c>
      <c r="J19" s="18">
        <f t="shared" si="4"/>
        <v>9387024.8407091238</v>
      </c>
      <c r="K19" s="18">
        <f t="shared" si="4"/>
        <v>9480191.0622531604</v>
      </c>
      <c r="L19" s="18">
        <f t="shared" si="4"/>
        <v>9574281.9585460238</v>
      </c>
      <c r="M19" s="18">
        <f t="shared" si="4"/>
        <v>9669306.7069845907</v>
      </c>
      <c r="N19" s="18">
        <f t="shared" si="4"/>
        <v>9765274.5760514103</v>
      </c>
      <c r="O19" s="18">
        <f t="shared" si="4"/>
        <v>9862194.9262187183</v>
      </c>
      <c r="P19" s="18">
        <f t="shared" si="4"/>
        <v>9960077.2108614389</v>
      </c>
      <c r="Q19" s="18">
        <f t="shared" si="4"/>
        <v>10058930.977179237</v>
      </c>
      <c r="R19" s="18">
        <f t="shared" si="4"/>
        <v>10158765.867127741</v>
      </c>
      <c r="S19" s="18">
        <f t="shared" si="4"/>
        <v>10259591.618358981</v>
      </c>
      <c r="T19" s="18">
        <f t="shared" si="4"/>
        <v>10361418.065171193</v>
      </c>
      <c r="U19" s="18">
        <f t="shared" si="4"/>
        <v>10464255.139468016</v>
      </c>
      <c r="V19" s="18">
        <f t="shared" si="4"/>
        <v>10568112.871727236</v>
      </c>
      <c r="W19" s="14"/>
      <c r="X19" s="14"/>
      <c r="Y19" s="14"/>
      <c r="Z19" s="14"/>
      <c r="AA19" s="14"/>
      <c r="AB19" s="14"/>
      <c r="AC19" s="14"/>
      <c r="AD19" s="14"/>
      <c r="AE19" s="14"/>
      <c r="AF19" s="14"/>
      <c r="AG19" s="14"/>
      <c r="AH19" s="14"/>
      <c r="AI19" s="14"/>
      <c r="AJ19" s="14"/>
      <c r="AK19" s="14"/>
      <c r="AL19" s="14"/>
      <c r="AM19" s="14"/>
      <c r="AN19" s="14"/>
      <c r="AO19" s="14"/>
      <c r="AP19" s="14"/>
      <c r="AQ19" s="14"/>
    </row>
    <row r="20" spans="1:43" x14ac:dyDescent="0.2">
      <c r="A20" s="14" t="s">
        <v>22</v>
      </c>
      <c r="B20" s="14"/>
      <c r="C20" s="18">
        <f>B7*B2</f>
        <v>1500000</v>
      </c>
      <c r="D20" s="18">
        <f>C20*(1+$B$8)</f>
        <v>1530000</v>
      </c>
      <c r="E20" s="18">
        <f t="shared" ref="E20:V20" si="5">D20*(1+$B$8)</f>
        <v>1560600</v>
      </c>
      <c r="F20" s="18">
        <f t="shared" si="5"/>
        <v>1591812</v>
      </c>
      <c r="G20" s="18">
        <f t="shared" si="5"/>
        <v>1623648.24</v>
      </c>
      <c r="H20" s="18">
        <f t="shared" si="5"/>
        <v>1656121.2047999999</v>
      </c>
      <c r="I20" s="18">
        <f t="shared" si="5"/>
        <v>1689243.6288959999</v>
      </c>
      <c r="J20" s="18">
        <f t="shared" si="5"/>
        <v>1723028.50147392</v>
      </c>
      <c r="K20" s="18">
        <f t="shared" si="5"/>
        <v>1757489.0715033985</v>
      </c>
      <c r="L20" s="18">
        <f t="shared" si="5"/>
        <v>1792638.8529334664</v>
      </c>
      <c r="M20" s="18">
        <f t="shared" si="5"/>
        <v>1828491.6299921358</v>
      </c>
      <c r="N20" s="18">
        <f t="shared" si="5"/>
        <v>1865061.4625919785</v>
      </c>
      <c r="O20" s="18">
        <f t="shared" si="5"/>
        <v>1902362.6918438182</v>
      </c>
      <c r="P20" s="18">
        <f t="shared" si="5"/>
        <v>1940409.9456806947</v>
      </c>
      <c r="Q20" s="18">
        <f t="shared" si="5"/>
        <v>1979218.1445943087</v>
      </c>
      <c r="R20" s="18">
        <f t="shared" si="5"/>
        <v>2018802.5074861948</v>
      </c>
      <c r="S20" s="18">
        <f t="shared" si="5"/>
        <v>2059178.5576359187</v>
      </c>
      <c r="T20" s="18">
        <f t="shared" si="5"/>
        <v>2100362.128788637</v>
      </c>
      <c r="U20" s="18">
        <f t="shared" si="5"/>
        <v>2142369.3713644096</v>
      </c>
      <c r="V20" s="18">
        <f t="shared" si="5"/>
        <v>2185216.7587916977</v>
      </c>
      <c r="W20" s="14"/>
      <c r="X20" s="14"/>
      <c r="Y20" s="14"/>
      <c r="Z20" s="14"/>
      <c r="AA20" s="14"/>
      <c r="AB20" s="14"/>
      <c r="AC20" s="14"/>
      <c r="AD20" s="14"/>
      <c r="AE20" s="14"/>
      <c r="AF20" s="14"/>
      <c r="AG20" s="14"/>
      <c r="AH20" s="14"/>
      <c r="AI20" s="14"/>
      <c r="AJ20" s="14"/>
      <c r="AK20" s="14"/>
      <c r="AL20" s="14"/>
      <c r="AM20" s="14"/>
      <c r="AN20" s="14"/>
      <c r="AO20" s="14"/>
      <c r="AP20" s="14"/>
      <c r="AQ20" s="14"/>
    </row>
    <row r="21" spans="1:43" x14ac:dyDescent="0.2">
      <c r="A21" s="16" t="s">
        <v>23</v>
      </c>
      <c r="B21" s="16"/>
      <c r="C21" s="21">
        <f>C19-C20</f>
        <v>7260000</v>
      </c>
      <c r="D21" s="21">
        <f>D19-D20</f>
        <v>7316942.9999999981</v>
      </c>
      <c r="E21" s="21">
        <f t="shared" ref="E21:V21" si="6">E19-E20</f>
        <v>7374148.9092749972</v>
      </c>
      <c r="F21" s="21">
        <f t="shared" si="6"/>
        <v>7431614.2921995521</v>
      </c>
      <c r="G21" s="21">
        <f t="shared" si="6"/>
        <v>7489335.5581496302</v>
      </c>
      <c r="H21" s="21">
        <f t="shared" si="6"/>
        <v>7547308.9575462658</v>
      </c>
      <c r="I21" s="21">
        <f t="shared" si="6"/>
        <v>7605530.5778115522</v>
      </c>
      <c r="J21" s="21">
        <f t="shared" si="6"/>
        <v>7663996.3392352033</v>
      </c>
      <c r="K21" s="21">
        <f t="shared" si="6"/>
        <v>7722701.9907497615</v>
      </c>
      <c r="L21" s="21">
        <f t="shared" si="6"/>
        <v>7781643.1056125574</v>
      </c>
      <c r="M21" s="21">
        <f t="shared" si="6"/>
        <v>7840815.0769924549</v>
      </c>
      <c r="N21" s="21">
        <f t="shared" si="6"/>
        <v>7900213.1134594316</v>
      </c>
      <c r="O21" s="21">
        <f t="shared" si="6"/>
        <v>7959832.2343749003</v>
      </c>
      <c r="P21" s="21">
        <f t="shared" si="6"/>
        <v>8019667.2651807442</v>
      </c>
      <c r="Q21" s="21">
        <f t="shared" si="6"/>
        <v>8079712.8325849278</v>
      </c>
      <c r="R21" s="21">
        <f t="shared" si="6"/>
        <v>8139963.3596415464</v>
      </c>
      <c r="S21" s="21">
        <f t="shared" si="6"/>
        <v>8200413.0607230626</v>
      </c>
      <c r="T21" s="21">
        <f t="shared" si="6"/>
        <v>8261055.9363825563</v>
      </c>
      <c r="U21" s="21">
        <f t="shared" si="6"/>
        <v>8321885.768103607</v>
      </c>
      <c r="V21" s="21">
        <f t="shared" si="6"/>
        <v>8382896.1129355375</v>
      </c>
      <c r="W21" s="14"/>
      <c r="X21" s="14"/>
      <c r="Y21" s="14"/>
      <c r="Z21" s="14"/>
      <c r="AA21" s="14"/>
      <c r="AB21" s="14"/>
      <c r="AC21" s="14"/>
      <c r="AD21" s="14"/>
      <c r="AE21" s="14"/>
      <c r="AF21" s="14"/>
      <c r="AG21" s="14"/>
      <c r="AH21" s="14"/>
      <c r="AI21" s="14"/>
      <c r="AJ21" s="14"/>
      <c r="AK21" s="14"/>
      <c r="AL21" s="14"/>
      <c r="AM21" s="14"/>
      <c r="AN21" s="14"/>
      <c r="AO21" s="14"/>
      <c r="AP21" s="14"/>
      <c r="AQ21" s="14"/>
    </row>
    <row r="22" spans="1:43" x14ac:dyDescent="0.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x14ac:dyDescent="0.2">
      <c r="A23" s="14" t="s">
        <v>26</v>
      </c>
      <c r="B23" s="18">
        <f>-(B9*B2)</f>
        <v>-100000000</v>
      </c>
      <c r="C23" s="25">
        <v>0</v>
      </c>
      <c r="D23" s="25">
        <v>0</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0</v>
      </c>
      <c r="W23" s="14"/>
      <c r="X23" s="14"/>
      <c r="Y23" s="14"/>
      <c r="Z23" s="14"/>
      <c r="AA23" s="14"/>
      <c r="AB23" s="14"/>
      <c r="AC23" s="14"/>
      <c r="AD23" s="14"/>
      <c r="AE23" s="14"/>
      <c r="AF23" s="14"/>
      <c r="AG23" s="14"/>
      <c r="AH23" s="14"/>
      <c r="AI23" s="14"/>
      <c r="AJ23" s="14"/>
      <c r="AK23" s="14"/>
      <c r="AL23" s="14"/>
      <c r="AM23" s="14"/>
      <c r="AN23" s="14"/>
      <c r="AO23" s="14"/>
      <c r="AP23" s="14"/>
      <c r="AQ23" s="14"/>
    </row>
    <row r="24" spans="1:43" x14ac:dyDescent="0.2">
      <c r="A24" s="14" t="s">
        <v>25</v>
      </c>
      <c r="B24" s="26"/>
      <c r="C24" s="18">
        <f>-($B$9*$B$2)/20</f>
        <v>-5000000</v>
      </c>
      <c r="D24" s="18">
        <f t="shared" ref="D24:V24" si="7">-($B$9*$B$2)/20</f>
        <v>-5000000</v>
      </c>
      <c r="E24" s="18">
        <f t="shared" si="7"/>
        <v>-5000000</v>
      </c>
      <c r="F24" s="18">
        <f t="shared" si="7"/>
        <v>-5000000</v>
      </c>
      <c r="G24" s="18">
        <f t="shared" si="7"/>
        <v>-5000000</v>
      </c>
      <c r="H24" s="18">
        <f t="shared" si="7"/>
        <v>-5000000</v>
      </c>
      <c r="I24" s="18">
        <f t="shared" si="7"/>
        <v>-5000000</v>
      </c>
      <c r="J24" s="18">
        <f t="shared" si="7"/>
        <v>-5000000</v>
      </c>
      <c r="K24" s="18">
        <f t="shared" si="7"/>
        <v>-5000000</v>
      </c>
      <c r="L24" s="18">
        <f t="shared" si="7"/>
        <v>-5000000</v>
      </c>
      <c r="M24" s="18">
        <f t="shared" si="7"/>
        <v>-5000000</v>
      </c>
      <c r="N24" s="18">
        <f t="shared" si="7"/>
        <v>-5000000</v>
      </c>
      <c r="O24" s="18">
        <f t="shared" si="7"/>
        <v>-5000000</v>
      </c>
      <c r="P24" s="18">
        <f t="shared" si="7"/>
        <v>-5000000</v>
      </c>
      <c r="Q24" s="18">
        <f t="shared" si="7"/>
        <v>-5000000</v>
      </c>
      <c r="R24" s="18">
        <f t="shared" si="7"/>
        <v>-5000000</v>
      </c>
      <c r="S24" s="18">
        <f t="shared" si="7"/>
        <v>-5000000</v>
      </c>
      <c r="T24" s="18">
        <f t="shared" si="7"/>
        <v>-5000000</v>
      </c>
      <c r="U24" s="18">
        <f t="shared" si="7"/>
        <v>-5000000</v>
      </c>
      <c r="V24" s="18">
        <f t="shared" si="7"/>
        <v>-5000000</v>
      </c>
      <c r="W24" s="14"/>
      <c r="X24" s="14"/>
      <c r="Y24" s="14"/>
      <c r="Z24" s="14"/>
      <c r="AA24" s="14"/>
      <c r="AB24" s="14"/>
      <c r="AC24" s="14"/>
      <c r="AD24" s="14"/>
      <c r="AE24" s="14"/>
      <c r="AF24" s="14"/>
      <c r="AG24" s="14"/>
      <c r="AH24" s="14"/>
      <c r="AI24" s="14"/>
      <c r="AJ24" s="14"/>
      <c r="AK24" s="14"/>
      <c r="AL24" s="14"/>
      <c r="AM24" s="14"/>
      <c r="AN24" s="14"/>
      <c r="AO24" s="14"/>
      <c r="AP24" s="14"/>
      <c r="AQ24" s="14"/>
    </row>
    <row r="25" spans="1:43" x14ac:dyDescent="0.2">
      <c r="A25" s="14" t="s">
        <v>24</v>
      </c>
      <c r="B25" s="26"/>
      <c r="C25" s="18">
        <f>C21+C24</f>
        <v>2260000</v>
      </c>
      <c r="D25" s="18">
        <f>D21+D24</f>
        <v>2316942.9999999981</v>
      </c>
      <c r="E25" s="18">
        <f t="shared" ref="E25:V25" si="8">E21+E24</f>
        <v>2374148.9092749972</v>
      </c>
      <c r="F25" s="18">
        <f t="shared" si="8"/>
        <v>2431614.2921995521</v>
      </c>
      <c r="G25" s="18">
        <f t="shared" si="8"/>
        <v>2489335.5581496302</v>
      </c>
      <c r="H25" s="18">
        <f t="shared" si="8"/>
        <v>2547308.9575462658</v>
      </c>
      <c r="I25" s="18">
        <f t="shared" si="8"/>
        <v>2605530.5778115522</v>
      </c>
      <c r="J25" s="18">
        <f t="shared" si="8"/>
        <v>2663996.3392352033</v>
      </c>
      <c r="K25" s="18">
        <f t="shared" si="8"/>
        <v>2722701.9907497615</v>
      </c>
      <c r="L25" s="18">
        <f t="shared" si="8"/>
        <v>2781643.1056125574</v>
      </c>
      <c r="M25" s="18">
        <f t="shared" si="8"/>
        <v>2840815.0769924549</v>
      </c>
      <c r="N25" s="18">
        <f t="shared" si="8"/>
        <v>2900213.1134594316</v>
      </c>
      <c r="O25" s="18">
        <f t="shared" si="8"/>
        <v>2959832.2343749003</v>
      </c>
      <c r="P25" s="18">
        <f t="shared" si="8"/>
        <v>3019667.2651807442</v>
      </c>
      <c r="Q25" s="18">
        <f t="shared" si="8"/>
        <v>3079712.8325849278</v>
      </c>
      <c r="R25" s="18">
        <f t="shared" si="8"/>
        <v>3139963.3596415464</v>
      </c>
      <c r="S25" s="18">
        <f t="shared" si="8"/>
        <v>3200413.0607230626</v>
      </c>
      <c r="T25" s="18">
        <f t="shared" si="8"/>
        <v>3261055.9363825563</v>
      </c>
      <c r="U25" s="18">
        <f t="shared" si="8"/>
        <v>3321885.768103607</v>
      </c>
      <c r="V25" s="18">
        <f t="shared" si="8"/>
        <v>3382896.1129355375</v>
      </c>
      <c r="W25" s="14"/>
      <c r="X25" s="14"/>
      <c r="Y25" s="14"/>
      <c r="Z25" s="14"/>
      <c r="AA25" s="14"/>
      <c r="AB25" s="14"/>
      <c r="AC25" s="14"/>
      <c r="AD25" s="14"/>
      <c r="AE25" s="14"/>
      <c r="AF25" s="14"/>
      <c r="AG25" s="14"/>
      <c r="AH25" s="14"/>
      <c r="AI25" s="14"/>
      <c r="AJ25" s="14"/>
      <c r="AK25" s="14"/>
      <c r="AL25" s="14"/>
      <c r="AM25" s="14"/>
      <c r="AN25" s="14"/>
      <c r="AO25" s="14"/>
      <c r="AP25" s="14"/>
      <c r="AQ25" s="14"/>
    </row>
    <row r="26" spans="1:43" x14ac:dyDescent="0.2">
      <c r="A26" s="14" t="s">
        <v>27</v>
      </c>
      <c r="B26" s="26"/>
      <c r="C26" s="18">
        <f>MAX(C25,0)*$B$10</f>
        <v>474600</v>
      </c>
      <c r="D26" s="18">
        <f>MAX(D25,0)*$B$10</f>
        <v>486558.02999999956</v>
      </c>
      <c r="E26" s="18">
        <f t="shared" ref="E26:V26" si="9">MAX(E25,0)*$B$10</f>
        <v>498571.27094774938</v>
      </c>
      <c r="F26" s="18">
        <f t="shared" si="9"/>
        <v>510639.00136190589</v>
      </c>
      <c r="G26" s="18">
        <f t="shared" si="9"/>
        <v>522760.46721142234</v>
      </c>
      <c r="H26" s="18">
        <f t="shared" si="9"/>
        <v>534934.88108471583</v>
      </c>
      <c r="I26" s="18">
        <f t="shared" si="9"/>
        <v>547161.42134042596</v>
      </c>
      <c r="J26" s="18">
        <f t="shared" si="9"/>
        <v>559439.23123939265</v>
      </c>
      <c r="K26" s="18">
        <f t="shared" si="9"/>
        <v>571767.41805744986</v>
      </c>
      <c r="L26" s="18">
        <f t="shared" si="9"/>
        <v>584145.05217863701</v>
      </c>
      <c r="M26" s="18">
        <f t="shared" si="9"/>
        <v>596571.16616841557</v>
      </c>
      <c r="N26" s="18">
        <f t="shared" si="9"/>
        <v>609044.75382648059</v>
      </c>
      <c r="O26" s="18">
        <f t="shared" si="9"/>
        <v>621564.76921872899</v>
      </c>
      <c r="P26" s="18">
        <f t="shared" si="9"/>
        <v>634130.12568795623</v>
      </c>
      <c r="Q26" s="18">
        <f t="shared" si="9"/>
        <v>646739.69484283484</v>
      </c>
      <c r="R26" s="18">
        <f t="shared" si="9"/>
        <v>659392.30552472477</v>
      </c>
      <c r="S26" s="18">
        <f t="shared" si="9"/>
        <v>672086.74275184318</v>
      </c>
      <c r="T26" s="18">
        <f t="shared" si="9"/>
        <v>684821.74664033682</v>
      </c>
      <c r="U26" s="18">
        <f t="shared" si="9"/>
        <v>697596.01130175742</v>
      </c>
      <c r="V26" s="18">
        <f t="shared" si="9"/>
        <v>710408.18371646281</v>
      </c>
      <c r="W26" s="14"/>
      <c r="X26" s="14"/>
      <c r="Y26" s="14"/>
      <c r="Z26" s="14"/>
      <c r="AA26" s="14"/>
      <c r="AB26" s="14"/>
      <c r="AC26" s="14"/>
      <c r="AD26" s="14"/>
      <c r="AE26" s="14"/>
      <c r="AF26" s="14"/>
      <c r="AG26" s="14"/>
      <c r="AH26" s="14"/>
      <c r="AI26" s="14"/>
      <c r="AJ26" s="14"/>
      <c r="AK26" s="14"/>
      <c r="AL26" s="14"/>
      <c r="AM26" s="14"/>
      <c r="AN26" s="14"/>
      <c r="AO26" s="14"/>
      <c r="AP26" s="14"/>
      <c r="AQ26" s="14"/>
    </row>
    <row r="27" spans="1:43" x14ac:dyDescent="0.2">
      <c r="A27" s="16" t="s">
        <v>28</v>
      </c>
      <c r="B27" s="21">
        <f>B23</f>
        <v>-100000000</v>
      </c>
      <c r="C27" s="21">
        <f>C21-C26</f>
        <v>6785400</v>
      </c>
      <c r="D27" s="21">
        <f t="shared" ref="D27:V27" si="10">D21-D26</f>
        <v>6830384.9699999988</v>
      </c>
      <c r="E27" s="21">
        <f t="shared" si="10"/>
        <v>6875577.6383272475</v>
      </c>
      <c r="F27" s="21">
        <f t="shared" si="10"/>
        <v>6920975.2908376465</v>
      </c>
      <c r="G27" s="21">
        <f t="shared" si="10"/>
        <v>6966575.0909382077</v>
      </c>
      <c r="H27" s="21">
        <f t="shared" si="10"/>
        <v>7012374.0764615498</v>
      </c>
      <c r="I27" s="21">
        <f t="shared" si="10"/>
        <v>7058369.1564711258</v>
      </c>
      <c r="J27" s="21">
        <f t="shared" si="10"/>
        <v>7104557.1079958109</v>
      </c>
      <c r="K27" s="21">
        <f t="shared" si="10"/>
        <v>7150934.5726923114</v>
      </c>
      <c r="L27" s="21">
        <f t="shared" si="10"/>
        <v>7197498.0534339203</v>
      </c>
      <c r="M27" s="21">
        <f t="shared" si="10"/>
        <v>7244243.910824039</v>
      </c>
      <c r="N27" s="21">
        <f t="shared" si="10"/>
        <v>7291168.3596329512</v>
      </c>
      <c r="O27" s="21">
        <f t="shared" si="10"/>
        <v>7338267.4651561715</v>
      </c>
      <c r="P27" s="21">
        <f t="shared" si="10"/>
        <v>7385537.1394927884</v>
      </c>
      <c r="Q27" s="21">
        <f t="shared" si="10"/>
        <v>7432973.1377420928</v>
      </c>
      <c r="R27" s="21">
        <f t="shared" si="10"/>
        <v>7480571.0541168218</v>
      </c>
      <c r="S27" s="21">
        <f t="shared" si="10"/>
        <v>7528326.3179712193</v>
      </c>
      <c r="T27" s="21">
        <f t="shared" si="10"/>
        <v>7576234.1897422196</v>
      </c>
      <c r="U27" s="21">
        <f t="shared" si="10"/>
        <v>7624289.7568018492</v>
      </c>
      <c r="V27" s="21">
        <f t="shared" si="10"/>
        <v>7672487.9292190745</v>
      </c>
      <c r="W27" s="14"/>
      <c r="X27" s="14"/>
      <c r="Y27" s="14"/>
      <c r="Z27" s="14"/>
      <c r="AA27" s="14"/>
      <c r="AB27" s="14"/>
      <c r="AC27" s="14"/>
      <c r="AD27" s="14"/>
      <c r="AE27" s="14"/>
      <c r="AF27" s="14"/>
      <c r="AG27" s="14"/>
      <c r="AH27" s="14"/>
      <c r="AI27" s="14"/>
      <c r="AJ27" s="14"/>
      <c r="AK27" s="14"/>
      <c r="AL27" s="14"/>
      <c r="AM27" s="14"/>
      <c r="AN27" s="14"/>
      <c r="AO27" s="14"/>
      <c r="AP27" s="14"/>
      <c r="AQ27" s="14"/>
    </row>
    <row r="28" spans="1:43" x14ac:dyDescent="0.2">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row>
    <row r="29" spans="1:43"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row>
    <row r="30" spans="1:43" ht="19" x14ac:dyDescent="0.25">
      <c r="A30" s="31" t="s">
        <v>29</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row>
    <row r="31" spans="1:43" x14ac:dyDescent="0.2">
      <c r="A31" s="27" t="s">
        <v>30</v>
      </c>
      <c r="B31" s="28">
        <f>IRR(B27:V27)</f>
        <v>3.7059567547608863E-2</v>
      </c>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row>
    <row r="32" spans="1:43" x14ac:dyDescent="0.2">
      <c r="A32" s="29" t="s">
        <v>31</v>
      </c>
      <c r="B32" s="30">
        <f>NPV(B11,C27:V27)+B27</f>
        <v>-30202650.893922105</v>
      </c>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row>
    <row r="33" spans="1:43" x14ac:dyDescent="0.2">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row>
    <row r="34" spans="1:43" x14ac:dyDescent="0.2">
      <c r="A34" s="16" t="s">
        <v>32</v>
      </c>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row>
    <row r="35" spans="1:43" x14ac:dyDescent="0.2">
      <c r="A35" s="17" t="s">
        <v>18</v>
      </c>
      <c r="B35" s="22">
        <v>0</v>
      </c>
      <c r="C35" s="22">
        <f>B35+1</f>
        <v>1</v>
      </c>
      <c r="D35" s="22">
        <f t="shared" ref="D35:U35" si="11">C35+1</f>
        <v>2</v>
      </c>
      <c r="E35" s="22">
        <f t="shared" si="11"/>
        <v>3</v>
      </c>
      <c r="F35" s="23">
        <f t="shared" si="11"/>
        <v>4</v>
      </c>
      <c r="G35" s="23">
        <f t="shared" si="11"/>
        <v>5</v>
      </c>
      <c r="H35" s="22">
        <f t="shared" si="11"/>
        <v>6</v>
      </c>
      <c r="I35" s="22">
        <f t="shared" si="11"/>
        <v>7</v>
      </c>
      <c r="J35" s="22">
        <f t="shared" si="11"/>
        <v>8</v>
      </c>
      <c r="K35" s="22">
        <f t="shared" si="11"/>
        <v>9</v>
      </c>
      <c r="L35" s="22">
        <f t="shared" si="11"/>
        <v>10</v>
      </c>
      <c r="M35" s="22">
        <f t="shared" si="11"/>
        <v>11</v>
      </c>
      <c r="N35" s="22">
        <f t="shared" si="11"/>
        <v>12</v>
      </c>
      <c r="O35" s="22">
        <f t="shared" si="11"/>
        <v>13</v>
      </c>
      <c r="P35" s="22">
        <f t="shared" si="11"/>
        <v>14</v>
      </c>
      <c r="Q35" s="22">
        <f t="shared" si="11"/>
        <v>15</v>
      </c>
      <c r="R35" s="22">
        <f t="shared" si="11"/>
        <v>16</v>
      </c>
      <c r="S35" s="22">
        <f t="shared" si="11"/>
        <v>17</v>
      </c>
      <c r="T35" s="22">
        <f t="shared" si="11"/>
        <v>18</v>
      </c>
      <c r="U35" s="22">
        <f t="shared" si="11"/>
        <v>19</v>
      </c>
      <c r="V35" s="22">
        <f>U35+1</f>
        <v>20</v>
      </c>
      <c r="W35" s="14"/>
      <c r="X35" s="14"/>
      <c r="Y35" s="14"/>
      <c r="Z35" s="14"/>
      <c r="AA35" s="14"/>
      <c r="AB35" s="14"/>
      <c r="AC35" s="14"/>
      <c r="AD35" s="14"/>
      <c r="AE35" s="14"/>
      <c r="AF35" s="14"/>
      <c r="AG35" s="14"/>
      <c r="AH35" s="14"/>
      <c r="AI35" s="14"/>
      <c r="AJ35" s="14"/>
      <c r="AK35" s="14"/>
      <c r="AL35" s="14"/>
      <c r="AM35" s="14"/>
      <c r="AN35" s="14"/>
      <c r="AO35" s="14"/>
      <c r="AP35" s="14"/>
      <c r="AQ35" s="14"/>
    </row>
    <row r="36" spans="1:43" x14ac:dyDescent="0.2">
      <c r="A36" s="14" t="s">
        <v>33</v>
      </c>
      <c r="B36" s="18">
        <f>-B9*B2*F3</f>
        <v>-70000000</v>
      </c>
      <c r="C36" s="19">
        <v>0</v>
      </c>
      <c r="D36" s="19">
        <v>0</v>
      </c>
      <c r="E36" s="19">
        <v>0</v>
      </c>
      <c r="F36" s="19">
        <v>0</v>
      </c>
      <c r="G36" s="19">
        <v>0</v>
      </c>
      <c r="H36" s="19">
        <v>0</v>
      </c>
      <c r="I36" s="19">
        <v>0</v>
      </c>
      <c r="J36" s="19">
        <v>0</v>
      </c>
      <c r="K36" s="19">
        <v>0</v>
      </c>
      <c r="L36" s="19">
        <v>0</v>
      </c>
      <c r="M36" s="19">
        <v>0</v>
      </c>
      <c r="N36" s="19">
        <v>0</v>
      </c>
      <c r="O36" s="19">
        <v>0</v>
      </c>
      <c r="P36" s="19">
        <v>0</v>
      </c>
      <c r="Q36" s="19">
        <v>0</v>
      </c>
      <c r="R36" s="19">
        <v>0</v>
      </c>
      <c r="S36" s="19">
        <v>0</v>
      </c>
      <c r="T36" s="19">
        <v>0</v>
      </c>
      <c r="U36" s="19">
        <v>0</v>
      </c>
      <c r="V36" s="19">
        <v>0</v>
      </c>
      <c r="W36" s="14"/>
      <c r="X36" s="14"/>
      <c r="Y36" s="14"/>
      <c r="Z36" s="14"/>
      <c r="AA36" s="14"/>
      <c r="AB36" s="14"/>
      <c r="AC36" s="14"/>
      <c r="AD36" s="14"/>
      <c r="AE36" s="14"/>
      <c r="AF36" s="14"/>
      <c r="AG36" s="14"/>
      <c r="AH36" s="14"/>
      <c r="AI36" s="14"/>
      <c r="AJ36" s="14"/>
      <c r="AK36" s="14"/>
      <c r="AL36" s="14"/>
      <c r="AM36" s="14"/>
      <c r="AN36" s="14"/>
      <c r="AO36" s="14"/>
      <c r="AP36" s="14"/>
      <c r="AQ36" s="14"/>
    </row>
    <row r="37" spans="1:43" x14ac:dyDescent="0.2">
      <c r="A37" s="14" t="s">
        <v>34</v>
      </c>
      <c r="B37" s="32"/>
      <c r="C37" s="18">
        <f>-B36</f>
        <v>70000000</v>
      </c>
      <c r="D37" s="18">
        <f>C40</f>
        <v>65333333.333333336</v>
      </c>
      <c r="E37" s="18">
        <f t="shared" ref="E37:R37" si="12">D40</f>
        <v>60666666.666666672</v>
      </c>
      <c r="F37" s="18">
        <f t="shared" si="12"/>
        <v>56000000.000000007</v>
      </c>
      <c r="G37" s="18">
        <f t="shared" si="12"/>
        <v>51333333.333333343</v>
      </c>
      <c r="H37" s="18">
        <f t="shared" si="12"/>
        <v>46666666.666666679</v>
      </c>
      <c r="I37" s="18">
        <f t="shared" si="12"/>
        <v>42000000.000000015</v>
      </c>
      <c r="J37" s="18">
        <f t="shared" si="12"/>
        <v>37333333.333333351</v>
      </c>
      <c r="K37" s="18">
        <f t="shared" si="12"/>
        <v>32666666.666666683</v>
      </c>
      <c r="L37" s="18">
        <f t="shared" si="12"/>
        <v>28000000.000000015</v>
      </c>
      <c r="M37" s="18">
        <f t="shared" si="12"/>
        <v>23333333.333333347</v>
      </c>
      <c r="N37" s="18">
        <f t="shared" si="12"/>
        <v>18666666.666666679</v>
      </c>
      <c r="O37" s="18">
        <f t="shared" si="12"/>
        <v>14000000.000000011</v>
      </c>
      <c r="P37" s="18">
        <f t="shared" si="12"/>
        <v>9333333.3333333433</v>
      </c>
      <c r="Q37" s="18">
        <f t="shared" si="12"/>
        <v>4666666.6666666763</v>
      </c>
      <c r="R37" s="18">
        <f t="shared" si="12"/>
        <v>9.3132257461547852E-9</v>
      </c>
      <c r="S37" s="18">
        <f t="shared" ref="S37:V37" si="13">R40</f>
        <v>9.3132257461547852E-9</v>
      </c>
      <c r="T37" s="18">
        <f t="shared" si="13"/>
        <v>9.3132257461547852E-9</v>
      </c>
      <c r="U37" s="18">
        <f t="shared" si="13"/>
        <v>9.3132257461547852E-9</v>
      </c>
      <c r="V37" s="18">
        <f t="shared" si="13"/>
        <v>9.3132257461547852E-9</v>
      </c>
      <c r="W37" s="14"/>
      <c r="X37" s="14"/>
      <c r="Y37" s="14"/>
      <c r="Z37" s="14"/>
      <c r="AA37" s="14"/>
      <c r="AB37" s="14"/>
      <c r="AC37" s="14"/>
      <c r="AD37" s="14"/>
      <c r="AE37" s="14"/>
      <c r="AF37" s="14"/>
      <c r="AG37" s="14"/>
      <c r="AH37" s="14"/>
      <c r="AI37" s="14"/>
      <c r="AJ37" s="14"/>
      <c r="AK37" s="14"/>
      <c r="AL37" s="14"/>
      <c r="AM37" s="14"/>
      <c r="AN37" s="14"/>
      <c r="AO37" s="14"/>
      <c r="AP37" s="14"/>
      <c r="AQ37" s="14"/>
    </row>
    <row r="38" spans="1:43" x14ac:dyDescent="0.2">
      <c r="A38" s="14" t="s">
        <v>35</v>
      </c>
      <c r="B38" s="14"/>
      <c r="C38" s="20">
        <f>C37*$F$4</f>
        <v>4200000</v>
      </c>
      <c r="D38" s="20">
        <f>D37*$F$4</f>
        <v>3920000</v>
      </c>
      <c r="E38" s="20">
        <f t="shared" ref="E38:Q38" si="14">E37*$F$4</f>
        <v>3640000</v>
      </c>
      <c r="F38" s="20">
        <f t="shared" si="14"/>
        <v>3360000.0000000005</v>
      </c>
      <c r="G38" s="20">
        <f t="shared" si="14"/>
        <v>3080000.0000000005</v>
      </c>
      <c r="H38" s="20">
        <f t="shared" si="14"/>
        <v>2800000.0000000005</v>
      </c>
      <c r="I38" s="20">
        <f t="shared" si="14"/>
        <v>2520000.0000000009</v>
      </c>
      <c r="J38" s="20">
        <f t="shared" si="14"/>
        <v>2240000.0000000009</v>
      </c>
      <c r="K38" s="20">
        <f t="shared" si="14"/>
        <v>1960000.0000000009</v>
      </c>
      <c r="L38" s="20">
        <f t="shared" si="14"/>
        <v>1680000.0000000009</v>
      </c>
      <c r="M38" s="20">
        <f t="shared" si="14"/>
        <v>1400000.0000000007</v>
      </c>
      <c r="N38" s="20">
        <f t="shared" si="14"/>
        <v>1120000.0000000007</v>
      </c>
      <c r="O38" s="20">
        <f t="shared" si="14"/>
        <v>840000.00000000058</v>
      </c>
      <c r="P38" s="20">
        <f t="shared" si="14"/>
        <v>560000.00000000058</v>
      </c>
      <c r="Q38" s="20">
        <f t="shared" si="14"/>
        <v>280000.00000000058</v>
      </c>
      <c r="R38" s="20">
        <v>0</v>
      </c>
      <c r="S38" s="20">
        <v>0</v>
      </c>
      <c r="T38" s="20">
        <v>0</v>
      </c>
      <c r="U38" s="20">
        <v>0</v>
      </c>
      <c r="V38" s="20">
        <v>0</v>
      </c>
      <c r="W38" s="14"/>
      <c r="X38" s="14"/>
      <c r="Y38" s="14"/>
      <c r="Z38" s="14"/>
      <c r="AA38" s="14"/>
      <c r="AB38" s="14"/>
      <c r="AC38" s="14"/>
      <c r="AD38" s="14"/>
      <c r="AE38" s="14"/>
      <c r="AF38" s="14"/>
      <c r="AG38" s="14"/>
      <c r="AH38" s="14"/>
      <c r="AI38" s="14"/>
      <c r="AJ38" s="14"/>
      <c r="AK38" s="14"/>
      <c r="AL38" s="14"/>
      <c r="AM38" s="14"/>
      <c r="AN38" s="14"/>
      <c r="AO38" s="14"/>
      <c r="AP38" s="14"/>
      <c r="AQ38" s="14"/>
    </row>
    <row r="39" spans="1:43" x14ac:dyDescent="0.2">
      <c r="A39" s="14" t="s">
        <v>36</v>
      </c>
      <c r="B39" s="14"/>
      <c r="C39" s="20">
        <f>-$B$36/15</f>
        <v>4666666.666666667</v>
      </c>
      <c r="D39" s="20">
        <f>-$B$36/15</f>
        <v>4666666.666666667</v>
      </c>
      <c r="E39" s="20">
        <f t="shared" ref="E39:Q39" si="15">-$B$36/15</f>
        <v>4666666.666666667</v>
      </c>
      <c r="F39" s="20">
        <f t="shared" si="15"/>
        <v>4666666.666666667</v>
      </c>
      <c r="G39" s="20">
        <f t="shared" si="15"/>
        <v>4666666.666666667</v>
      </c>
      <c r="H39" s="20">
        <f t="shared" si="15"/>
        <v>4666666.666666667</v>
      </c>
      <c r="I39" s="20">
        <f t="shared" si="15"/>
        <v>4666666.666666667</v>
      </c>
      <c r="J39" s="20">
        <f t="shared" si="15"/>
        <v>4666666.666666667</v>
      </c>
      <c r="K39" s="20">
        <f t="shared" si="15"/>
        <v>4666666.666666667</v>
      </c>
      <c r="L39" s="20">
        <f t="shared" si="15"/>
        <v>4666666.666666667</v>
      </c>
      <c r="M39" s="20">
        <f t="shared" si="15"/>
        <v>4666666.666666667</v>
      </c>
      <c r="N39" s="20">
        <f t="shared" si="15"/>
        <v>4666666.666666667</v>
      </c>
      <c r="O39" s="20">
        <f t="shared" si="15"/>
        <v>4666666.666666667</v>
      </c>
      <c r="P39" s="20">
        <f t="shared" si="15"/>
        <v>4666666.666666667</v>
      </c>
      <c r="Q39" s="20">
        <f t="shared" si="15"/>
        <v>4666666.666666667</v>
      </c>
      <c r="R39" s="20">
        <v>0</v>
      </c>
      <c r="S39" s="20">
        <v>0</v>
      </c>
      <c r="T39" s="20">
        <v>0</v>
      </c>
      <c r="U39" s="20">
        <v>0</v>
      </c>
      <c r="V39" s="20">
        <v>0</v>
      </c>
      <c r="W39" s="14"/>
      <c r="X39" s="14"/>
      <c r="Y39" s="14"/>
      <c r="Z39" s="14"/>
      <c r="AA39" s="14"/>
      <c r="AB39" s="14"/>
      <c r="AC39" s="14"/>
      <c r="AD39" s="14"/>
      <c r="AE39" s="14"/>
      <c r="AF39" s="14"/>
      <c r="AG39" s="14"/>
      <c r="AH39" s="14"/>
      <c r="AI39" s="14"/>
      <c r="AJ39" s="14"/>
      <c r="AK39" s="14"/>
      <c r="AL39" s="14"/>
      <c r="AM39" s="14"/>
      <c r="AN39" s="14"/>
      <c r="AO39" s="14"/>
      <c r="AP39" s="14"/>
      <c r="AQ39" s="14"/>
    </row>
    <row r="40" spans="1:43" x14ac:dyDescent="0.2">
      <c r="A40" s="14" t="s">
        <v>37</v>
      </c>
      <c r="B40" s="14"/>
      <c r="C40" s="20">
        <f>C37-C39</f>
        <v>65333333.333333336</v>
      </c>
      <c r="D40" s="20">
        <f>D37-D39</f>
        <v>60666666.666666672</v>
      </c>
      <c r="E40" s="20">
        <f t="shared" ref="E40:R40" si="16">E37-E39</f>
        <v>56000000.000000007</v>
      </c>
      <c r="F40" s="20">
        <f t="shared" si="16"/>
        <v>51333333.333333343</v>
      </c>
      <c r="G40" s="20">
        <f t="shared" si="16"/>
        <v>46666666.666666679</v>
      </c>
      <c r="H40" s="20">
        <f t="shared" si="16"/>
        <v>42000000.000000015</v>
      </c>
      <c r="I40" s="20">
        <f t="shared" si="16"/>
        <v>37333333.333333351</v>
      </c>
      <c r="J40" s="20">
        <f t="shared" si="16"/>
        <v>32666666.666666683</v>
      </c>
      <c r="K40" s="20">
        <f t="shared" si="16"/>
        <v>28000000.000000015</v>
      </c>
      <c r="L40" s="20">
        <f t="shared" si="16"/>
        <v>23333333.333333347</v>
      </c>
      <c r="M40" s="20">
        <f t="shared" si="16"/>
        <v>18666666.666666679</v>
      </c>
      <c r="N40" s="20">
        <f t="shared" si="16"/>
        <v>14000000.000000011</v>
      </c>
      <c r="O40" s="20">
        <f t="shared" si="16"/>
        <v>9333333.3333333433</v>
      </c>
      <c r="P40" s="20">
        <f t="shared" si="16"/>
        <v>4666666.6666666763</v>
      </c>
      <c r="Q40" s="20">
        <f t="shared" si="16"/>
        <v>9.3132257461547852E-9</v>
      </c>
      <c r="R40" s="20">
        <f t="shared" si="16"/>
        <v>9.3132257461547852E-9</v>
      </c>
      <c r="S40" s="20">
        <f t="shared" ref="S40" si="17">S37-S39</f>
        <v>9.3132257461547852E-9</v>
      </c>
      <c r="T40" s="20">
        <f t="shared" ref="T40" si="18">T37-T39</f>
        <v>9.3132257461547852E-9</v>
      </c>
      <c r="U40" s="20">
        <f t="shared" ref="U40" si="19">U37-U39</f>
        <v>9.3132257461547852E-9</v>
      </c>
      <c r="V40" s="20">
        <f t="shared" ref="V40" si="20">V37-V39</f>
        <v>9.3132257461547852E-9</v>
      </c>
      <c r="W40" s="14"/>
      <c r="X40" s="14"/>
      <c r="Y40" s="14"/>
      <c r="Z40" s="14"/>
      <c r="AA40" s="14"/>
      <c r="AB40" s="14"/>
      <c r="AC40" s="14"/>
      <c r="AD40" s="14"/>
      <c r="AE40" s="14"/>
      <c r="AF40" s="14"/>
      <c r="AG40" s="14"/>
      <c r="AH40" s="14"/>
      <c r="AI40" s="14"/>
      <c r="AJ40" s="14"/>
      <c r="AK40" s="14"/>
      <c r="AL40" s="14"/>
      <c r="AM40" s="14"/>
      <c r="AN40" s="14"/>
      <c r="AO40" s="14"/>
      <c r="AP40" s="14"/>
      <c r="AQ40" s="14"/>
    </row>
    <row r="41" spans="1:43" x14ac:dyDescent="0.2">
      <c r="A41" s="14" t="s">
        <v>39</v>
      </c>
      <c r="B41" s="14"/>
      <c r="C41" s="20">
        <f>C38+C39</f>
        <v>8866666.6666666679</v>
      </c>
      <c r="D41" s="20">
        <f>D38+D39</f>
        <v>8586666.6666666679</v>
      </c>
      <c r="E41" s="20">
        <f t="shared" ref="E41:R41" si="21">E38+E39</f>
        <v>8306666.666666667</v>
      </c>
      <c r="F41" s="20">
        <f t="shared" si="21"/>
        <v>8026666.6666666679</v>
      </c>
      <c r="G41" s="20">
        <f t="shared" si="21"/>
        <v>7746666.6666666679</v>
      </c>
      <c r="H41" s="20">
        <f t="shared" si="21"/>
        <v>7466666.6666666679</v>
      </c>
      <c r="I41" s="20">
        <f t="shared" si="21"/>
        <v>7186666.6666666679</v>
      </c>
      <c r="J41" s="20">
        <f t="shared" si="21"/>
        <v>6906666.6666666679</v>
      </c>
      <c r="K41" s="20">
        <f t="shared" si="21"/>
        <v>6626666.6666666679</v>
      </c>
      <c r="L41" s="20">
        <f t="shared" si="21"/>
        <v>6346666.6666666679</v>
      </c>
      <c r="M41" s="20">
        <f t="shared" si="21"/>
        <v>6066666.6666666679</v>
      </c>
      <c r="N41" s="20">
        <f t="shared" si="21"/>
        <v>5786666.6666666679</v>
      </c>
      <c r="O41" s="20">
        <f t="shared" si="21"/>
        <v>5506666.6666666679</v>
      </c>
      <c r="P41" s="20">
        <f t="shared" si="21"/>
        <v>5226666.6666666679</v>
      </c>
      <c r="Q41" s="20">
        <f t="shared" si="21"/>
        <v>4946666.6666666679</v>
      </c>
      <c r="R41" s="20">
        <f t="shared" si="21"/>
        <v>0</v>
      </c>
      <c r="S41" s="20">
        <f t="shared" ref="S41:V41" si="22">S38+S39</f>
        <v>0</v>
      </c>
      <c r="T41" s="20">
        <f t="shared" si="22"/>
        <v>0</v>
      </c>
      <c r="U41" s="20">
        <f t="shared" si="22"/>
        <v>0</v>
      </c>
      <c r="V41" s="20">
        <f t="shared" si="22"/>
        <v>0</v>
      </c>
      <c r="W41" s="14"/>
      <c r="X41" s="14"/>
      <c r="Y41" s="14"/>
      <c r="Z41" s="14"/>
      <c r="AA41" s="14"/>
      <c r="AB41" s="14"/>
      <c r="AC41" s="14"/>
      <c r="AD41" s="14"/>
      <c r="AE41" s="14"/>
      <c r="AF41" s="14"/>
      <c r="AG41" s="14"/>
      <c r="AH41" s="14"/>
      <c r="AI41" s="14"/>
      <c r="AJ41" s="14"/>
      <c r="AK41" s="14"/>
      <c r="AL41" s="14"/>
      <c r="AM41" s="14"/>
      <c r="AN41" s="14"/>
      <c r="AO41" s="14"/>
      <c r="AP41" s="14"/>
      <c r="AQ41" s="14"/>
    </row>
    <row r="42" spans="1:43" x14ac:dyDescent="0.2">
      <c r="A42" s="14" t="s">
        <v>38</v>
      </c>
      <c r="B42" s="14"/>
      <c r="C42" s="33">
        <f>C27/C41</f>
        <v>0.76527067669172921</v>
      </c>
      <c r="D42" s="33">
        <f>D27/D41</f>
        <v>0.7954640881211178</v>
      </c>
      <c r="E42" s="33">
        <f t="shared" ref="E42:Q42" si="23">E27/E41</f>
        <v>0.82771801424485314</v>
      </c>
      <c r="F42" s="33">
        <f t="shared" si="23"/>
        <v>0.86224775218076977</v>
      </c>
      <c r="G42" s="33">
        <f t="shared" si="23"/>
        <v>0.89929971053419189</v>
      </c>
      <c r="H42" s="33">
        <f t="shared" si="23"/>
        <v>0.93915724238324316</v>
      </c>
      <c r="I42" s="33">
        <f t="shared" si="23"/>
        <v>0.98214784180952563</v>
      </c>
      <c r="J42" s="33">
        <f t="shared" si="23"/>
        <v>1.0286520909260342</v>
      </c>
      <c r="K42" s="33">
        <f t="shared" si="23"/>
        <v>1.0791148751547752</v>
      </c>
      <c r="L42" s="33">
        <f t="shared" si="23"/>
        <v>1.1340595672427394</v>
      </c>
      <c r="M42" s="33">
        <f t="shared" si="23"/>
        <v>1.1941061391468193</v>
      </c>
      <c r="N42" s="33">
        <f t="shared" si="23"/>
        <v>1.2599945321946342</v>
      </c>
      <c r="O42" s="33">
        <f t="shared" si="23"/>
        <v>1.3326151571106846</v>
      </c>
      <c r="P42" s="33">
        <f t="shared" si="23"/>
        <v>1.4130491976070383</v>
      </c>
      <c r="Q42" s="33">
        <f t="shared" si="23"/>
        <v>1.5026226019694253</v>
      </c>
      <c r="R42" s="34">
        <v>0</v>
      </c>
      <c r="S42" s="34">
        <v>0</v>
      </c>
      <c r="T42" s="34">
        <v>0</v>
      </c>
      <c r="U42" s="34">
        <v>0</v>
      </c>
      <c r="V42" s="34">
        <v>0</v>
      </c>
      <c r="W42" s="14"/>
      <c r="X42" s="14"/>
      <c r="Y42" s="14"/>
      <c r="Z42" s="14"/>
      <c r="AA42" s="14"/>
      <c r="AB42" s="14"/>
      <c r="AC42" s="14"/>
      <c r="AD42" s="14"/>
      <c r="AE42" s="14"/>
      <c r="AF42" s="14"/>
      <c r="AG42" s="14"/>
      <c r="AH42" s="14"/>
      <c r="AI42" s="14"/>
      <c r="AJ42" s="14"/>
      <c r="AK42" s="14"/>
      <c r="AL42" s="14"/>
      <c r="AM42" s="14"/>
      <c r="AN42" s="14"/>
      <c r="AO42" s="14"/>
      <c r="AP42" s="14"/>
      <c r="AQ42" s="14"/>
    </row>
    <row r="43" spans="1:43" x14ac:dyDescent="0.2">
      <c r="A43" s="16" t="s">
        <v>40</v>
      </c>
      <c r="B43" s="21">
        <f>-(B9*B2)*(1-F3)</f>
        <v>-30000000.000000004</v>
      </c>
      <c r="C43" s="21">
        <f>C27-C41</f>
        <v>-2081266.6666666679</v>
      </c>
      <c r="D43" s="21">
        <f>D27-D41</f>
        <v>-1756281.6966666691</v>
      </c>
      <c r="E43" s="21">
        <f t="shared" ref="E43:R43" si="24">E27-E41</f>
        <v>-1431089.0283394195</v>
      </c>
      <c r="F43" s="21">
        <f t="shared" si="24"/>
        <v>-1105691.3758290214</v>
      </c>
      <c r="G43" s="21">
        <f t="shared" si="24"/>
        <v>-780091.57572846022</v>
      </c>
      <c r="H43" s="21">
        <f t="shared" si="24"/>
        <v>-454292.59020511806</v>
      </c>
      <c r="I43" s="21">
        <f t="shared" si="24"/>
        <v>-128297.51019554213</v>
      </c>
      <c r="J43" s="21">
        <f t="shared" si="24"/>
        <v>197890.44132914301</v>
      </c>
      <c r="K43" s="21">
        <f t="shared" si="24"/>
        <v>524267.90602564346</v>
      </c>
      <c r="L43" s="21">
        <f t="shared" si="24"/>
        <v>850831.38676725235</v>
      </c>
      <c r="M43" s="21">
        <f t="shared" si="24"/>
        <v>1177577.2441573711</v>
      </c>
      <c r="N43" s="21">
        <f t="shared" si="24"/>
        <v>1504501.6929662833</v>
      </c>
      <c r="O43" s="21">
        <f t="shared" si="24"/>
        <v>1831600.7984895036</v>
      </c>
      <c r="P43" s="21">
        <f t="shared" si="24"/>
        <v>2158870.4728261204</v>
      </c>
      <c r="Q43" s="21">
        <f t="shared" si="24"/>
        <v>2486306.4710754249</v>
      </c>
      <c r="R43" s="21">
        <f t="shared" si="24"/>
        <v>7480571.0541168218</v>
      </c>
      <c r="S43" s="21">
        <f t="shared" ref="S43:V43" si="25">S27-S41</f>
        <v>7528326.3179712193</v>
      </c>
      <c r="T43" s="21">
        <f t="shared" si="25"/>
        <v>7576234.1897422196</v>
      </c>
      <c r="U43" s="21">
        <f t="shared" si="25"/>
        <v>7624289.7568018492</v>
      </c>
      <c r="V43" s="21">
        <f t="shared" si="25"/>
        <v>7672487.9292190745</v>
      </c>
      <c r="W43" s="14"/>
      <c r="X43" s="14"/>
      <c r="Y43" s="14"/>
      <c r="Z43" s="14"/>
      <c r="AA43" s="14"/>
      <c r="AB43" s="14"/>
      <c r="AC43" s="14"/>
      <c r="AD43" s="14"/>
      <c r="AE43" s="14"/>
      <c r="AF43" s="14"/>
      <c r="AG43" s="14"/>
      <c r="AH43" s="14"/>
      <c r="AI43" s="14"/>
      <c r="AJ43" s="14"/>
      <c r="AK43" s="14"/>
      <c r="AL43" s="14"/>
      <c r="AM43" s="14"/>
      <c r="AN43" s="14"/>
      <c r="AO43" s="14"/>
      <c r="AP43" s="14"/>
      <c r="AQ43" s="14"/>
    </row>
    <row r="44" spans="1:43" x14ac:dyDescent="0.2">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row>
    <row r="45" spans="1:43" x14ac:dyDescent="0.2">
      <c r="A45" s="35" t="s">
        <v>41</v>
      </c>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row>
    <row r="46" spans="1:43" x14ac:dyDescent="0.2">
      <c r="A46" s="27" t="s">
        <v>42</v>
      </c>
      <c r="B46" s="28">
        <f>IRR(B43:V43)</f>
        <v>1.5720362447484426E-2</v>
      </c>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row>
    <row r="47" spans="1:43" x14ac:dyDescent="0.2">
      <c r="A47" s="29" t="s">
        <v>43</v>
      </c>
      <c r="B47" s="30">
        <f>NPV(B11,C43:V43)+B43</f>
        <v>-22688709.363169517</v>
      </c>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row>
    <row r="48" spans="1:43" x14ac:dyDescent="0.2">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row>
    <row r="49" spans="1:43" x14ac:dyDescent="0.2">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row>
    <row r="50" spans="1:43" x14ac:dyDescent="0.2">
      <c r="A50" s="14" t="s">
        <v>12</v>
      </c>
      <c r="B50" s="14"/>
      <c r="C50" s="14">
        <f>$F$2</f>
        <v>1.3</v>
      </c>
      <c r="D50" s="14">
        <f t="shared" ref="D50:Q50" si="26">$F$2</f>
        <v>1.3</v>
      </c>
      <c r="E50" s="14">
        <f t="shared" si="26"/>
        <v>1.3</v>
      </c>
      <c r="F50" s="14">
        <f t="shared" si="26"/>
        <v>1.3</v>
      </c>
      <c r="G50" s="14">
        <f t="shared" si="26"/>
        <v>1.3</v>
      </c>
      <c r="H50" s="14">
        <f t="shared" si="26"/>
        <v>1.3</v>
      </c>
      <c r="I50" s="14">
        <f t="shared" si="26"/>
        <v>1.3</v>
      </c>
      <c r="J50" s="14">
        <f t="shared" si="26"/>
        <v>1.3</v>
      </c>
      <c r="K50" s="14">
        <f t="shared" si="26"/>
        <v>1.3</v>
      </c>
      <c r="L50" s="14">
        <f t="shared" si="26"/>
        <v>1.3</v>
      </c>
      <c r="M50" s="14">
        <f t="shared" si="26"/>
        <v>1.3</v>
      </c>
      <c r="N50" s="14">
        <f t="shared" si="26"/>
        <v>1.3</v>
      </c>
      <c r="O50" s="14">
        <f t="shared" si="26"/>
        <v>1.3</v>
      </c>
      <c r="P50" s="14">
        <f t="shared" si="26"/>
        <v>1.3</v>
      </c>
      <c r="Q50" s="14">
        <f t="shared" si="26"/>
        <v>1.3</v>
      </c>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row>
    <row r="51" spans="1:43" x14ac:dyDescent="0.2">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row>
    <row r="52" spans="1:43" x14ac:dyDescent="0.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row>
    <row r="53" spans="1:43" x14ac:dyDescent="0.2">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row>
    <row r="54" spans="1:43" x14ac:dyDescent="0.2">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spans="1:43" x14ac:dyDescent="0.2">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spans="1:43" x14ac:dyDescent="0.2">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row>
    <row r="57" spans="1:43" x14ac:dyDescent="0.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row>
    <row r="58" spans="1:43" x14ac:dyDescent="0.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spans="1:43" x14ac:dyDescent="0.2">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row>
    <row r="60" spans="1:43"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row>
    <row r="61" spans="1:43"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row>
    <row r="62" spans="1:43" x14ac:dyDescent="0.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row>
    <row r="63" spans="1:43" x14ac:dyDescent="0.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row>
    <row r="64" spans="1:43" x14ac:dyDescent="0.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row>
    <row r="65" spans="1:43" x14ac:dyDescent="0.2">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row>
    <row r="66" spans="1:43" x14ac:dyDescent="0.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row>
    <row r="67" spans="1:43" x14ac:dyDescent="0.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row>
    <row r="68" spans="1:43" x14ac:dyDescent="0.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row>
    <row r="69" spans="1:43" x14ac:dyDescent="0.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row>
    <row r="70" spans="1:43" x14ac:dyDescent="0.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row>
    <row r="71" spans="1:43" x14ac:dyDescent="0.2">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row>
    <row r="72" spans="1:43" x14ac:dyDescent="0.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spans="1:43" x14ac:dyDescent="0.2">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row>
    <row r="74" spans="1:43" x14ac:dyDescent="0.2">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row>
    <row r="75" spans="1:43"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spans="1:43" x14ac:dyDescent="0.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spans="1:43" x14ac:dyDescent="0.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row r="78" spans="1:43" x14ac:dyDescent="0.2">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row>
    <row r="79" spans="1:43" x14ac:dyDescent="0.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row>
    <row r="80" spans="1:43" x14ac:dyDescent="0.2">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row>
    <row r="81" spans="1:43" x14ac:dyDescent="0.2">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row>
    <row r="82" spans="1:43"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row>
    <row r="83" spans="1:43" x14ac:dyDescent="0.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row>
    <row r="84" spans="1:43" x14ac:dyDescent="0.2">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row>
    <row r="85" spans="1:43" x14ac:dyDescent="0.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x14ac:dyDescent="0.2">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row>
    <row r="87" spans="1:43"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row>
    <row r="88" spans="1:43" x14ac:dyDescent="0.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row>
    <row r="89" spans="1:43"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spans="1:43"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row>
    <row r="91" spans="1:43"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row>
    <row r="92" spans="1:43" x14ac:dyDescent="0.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row>
    <row r="93" spans="1:43" x14ac:dyDescent="0.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row>
    <row r="94" spans="1:43"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row>
    <row r="95" spans="1:43"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row>
    <row r="96" spans="1:43"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row>
    <row r="97" spans="1:43"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row>
    <row r="99" spans="1:43"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row>
    <row r="100" spans="1:43"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row>
    <row r="101" spans="1:43"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spans="1:43"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row>
    <row r="103" spans="1:43"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row>
    <row r="104" spans="1:43"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row>
    <row r="105" spans="1:43"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row>
    <row r="106" spans="1:43"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row>
    <row r="107" spans="1:43"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row>
    <row r="108" spans="1:43"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row>
    <row r="109" spans="1:43"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row>
    <row r="110" spans="1:43"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row>
    <row r="111" spans="1:43"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row>
    <row r="112" spans="1:43"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row>
    <row r="113" spans="1:43"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row>
    <row r="114" spans="1:43"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row>
    <row r="115" spans="1:43"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row>
    <row r="116" spans="1:43"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row>
    <row r="117" spans="1:43"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row>
    <row r="118" spans="1:43"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row>
    <row r="119" spans="1:43"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row>
    <row r="120" spans="1:43"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row>
    <row r="121" spans="1:43"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row>
    <row r="122" spans="1:43"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row>
    <row r="123" spans="1:43"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row>
    <row r="124" spans="1:43"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row>
    <row r="125" spans="1:43"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row>
    <row r="126" spans="1:43"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row>
    <row r="127" spans="1:43"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row>
    <row r="128" spans="1:43"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row>
    <row r="129" spans="1:43"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row>
    <row r="130" spans="1:43"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row>
    <row r="131" spans="1:43"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row>
    <row r="132" spans="1:43"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row>
    <row r="133" spans="1:43"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row>
    <row r="134" spans="1:43"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row>
    <row r="135" spans="1:43"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row>
    <row r="136" spans="1:43"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row>
    <row r="137" spans="1:43"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row>
    <row r="138" spans="1:43"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row>
    <row r="139" spans="1:43"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row>
    <row r="140" spans="1:43"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row>
    <row r="141" spans="1:43"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row>
    <row r="142" spans="1:43"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row>
    <row r="143" spans="1:43"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row>
    <row r="144" spans="1:43"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row>
    <row r="145" spans="1:43"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9A59-4416-9B4D-AF0F-A50485A569DF}">
  <dimension ref="A1:A42"/>
  <sheetViews>
    <sheetView zoomScale="87" workbookViewId="0">
      <selection activeCell="E42" sqref="E42"/>
    </sheetView>
  </sheetViews>
  <sheetFormatPr baseColWidth="10" defaultRowHeight="16" x14ac:dyDescent="0.2"/>
  <cols>
    <col min="1" max="1" width="30.1640625" customWidth="1"/>
  </cols>
  <sheetData>
    <row r="1" spans="1:1" ht="19" x14ac:dyDescent="0.25">
      <c r="A1" s="36" t="s">
        <v>44</v>
      </c>
    </row>
    <row r="21" spans="1:1" ht="19" x14ac:dyDescent="0.25">
      <c r="A21" s="36" t="s">
        <v>45</v>
      </c>
    </row>
    <row r="42" spans="1:1" ht="204" x14ac:dyDescent="0.2">
      <c r="A42" s="38" t="s">
        <v>46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BE7A-EF07-6D49-8FBB-BE9FB33E2C63}">
  <dimension ref="A1:AQ149"/>
  <sheetViews>
    <sheetView workbookViewId="0">
      <pane xSplit="2" ySplit="12" topLeftCell="K32" activePane="bottomRight" state="frozen"/>
      <selection pane="topRight" activeCell="C1" sqref="C1"/>
      <selection pane="bottomLeft" activeCell="A13" sqref="A13"/>
      <selection pane="bottomRight" activeCell="R48" sqref="R48"/>
    </sheetView>
  </sheetViews>
  <sheetFormatPr baseColWidth="10" defaultRowHeight="16" x14ac:dyDescent="0.2"/>
  <cols>
    <col min="1" max="1" width="24.33203125" customWidth="1"/>
    <col min="2" max="2" width="17" customWidth="1"/>
    <col min="3" max="3" width="17.1640625" bestFit="1" customWidth="1"/>
    <col min="4" max="4" width="15.1640625" customWidth="1"/>
    <col min="5" max="5" width="16" customWidth="1"/>
    <col min="6" max="6" width="16.6640625" customWidth="1"/>
    <col min="7" max="7" width="15.5" customWidth="1"/>
    <col min="8" max="8" width="14.33203125" customWidth="1"/>
    <col min="9" max="9" width="15.5" customWidth="1"/>
    <col min="10" max="10" width="15.33203125" customWidth="1"/>
    <col min="11" max="11" width="16.5" customWidth="1"/>
    <col min="12" max="12" width="15" customWidth="1"/>
    <col min="13" max="13" width="16" customWidth="1"/>
    <col min="14" max="14" width="16.6640625" customWidth="1"/>
    <col min="15" max="15" width="16.33203125" customWidth="1"/>
    <col min="16" max="16" width="15" customWidth="1"/>
    <col min="17" max="17" width="16" customWidth="1"/>
    <col min="18" max="18" width="18.6640625" customWidth="1"/>
    <col min="19" max="19" width="15.6640625" customWidth="1"/>
    <col min="20" max="21" width="15.83203125" customWidth="1"/>
    <col min="22" max="22" width="17.6640625" customWidth="1"/>
  </cols>
  <sheetData>
    <row r="1" spans="1:43" ht="34" x14ac:dyDescent="0.2">
      <c r="A1" s="1" t="s">
        <v>0</v>
      </c>
      <c r="E1" s="12" t="s">
        <v>11</v>
      </c>
    </row>
    <row r="2" spans="1:43" x14ac:dyDescent="0.2">
      <c r="A2" s="2" t="s">
        <v>1</v>
      </c>
      <c r="B2" s="3">
        <v>100</v>
      </c>
      <c r="E2" s="2" t="s">
        <v>12</v>
      </c>
      <c r="F2" s="39">
        <v>1.3</v>
      </c>
    </row>
    <row r="3" spans="1:43" x14ac:dyDescent="0.2">
      <c r="A3" s="4" t="s">
        <v>2</v>
      </c>
      <c r="B3" s="5">
        <v>0.25</v>
      </c>
      <c r="E3" s="4" t="s">
        <v>13</v>
      </c>
      <c r="F3" s="5" t="s">
        <v>49</v>
      </c>
    </row>
    <row r="4" spans="1:43" x14ac:dyDescent="0.2">
      <c r="A4" s="4" t="s">
        <v>3</v>
      </c>
      <c r="B4" s="6">
        <v>5.0000000000000001E-3</v>
      </c>
      <c r="E4" s="4" t="s">
        <v>14</v>
      </c>
      <c r="F4" s="5">
        <v>0.06</v>
      </c>
    </row>
    <row r="5" spans="1:43" x14ac:dyDescent="0.2">
      <c r="A5" s="4" t="s">
        <v>4</v>
      </c>
      <c r="B5" s="7">
        <v>40</v>
      </c>
      <c r="C5" s="19"/>
      <c r="E5" s="9" t="s">
        <v>15</v>
      </c>
      <c r="F5" s="11">
        <v>15</v>
      </c>
    </row>
    <row r="6" spans="1:43" x14ac:dyDescent="0.2">
      <c r="A6" s="4" t="s">
        <v>5</v>
      </c>
      <c r="B6" s="5">
        <v>1.4999999999999999E-2</v>
      </c>
    </row>
    <row r="7" spans="1:43" x14ac:dyDescent="0.2">
      <c r="A7" s="4" t="s">
        <v>6</v>
      </c>
      <c r="B7" s="8">
        <v>15000</v>
      </c>
    </row>
    <row r="8" spans="1:43" x14ac:dyDescent="0.2">
      <c r="A8" s="4" t="s">
        <v>7</v>
      </c>
      <c r="B8" s="5">
        <v>0.02</v>
      </c>
    </row>
    <row r="9" spans="1:43" x14ac:dyDescent="0.2">
      <c r="A9" s="4" t="s">
        <v>8</v>
      </c>
      <c r="B9" s="8">
        <v>1000000</v>
      </c>
    </row>
    <row r="10" spans="1:43" x14ac:dyDescent="0.2">
      <c r="A10" s="4" t="s">
        <v>9</v>
      </c>
      <c r="B10" s="5">
        <v>0.21</v>
      </c>
    </row>
    <row r="11" spans="1:43" x14ac:dyDescent="0.2">
      <c r="A11" s="9" t="s">
        <v>10</v>
      </c>
      <c r="B11" s="10">
        <v>0.08</v>
      </c>
    </row>
    <row r="12" spans="1:43"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row>
    <row r="13" spans="1:43" ht="19" x14ac:dyDescent="0.25">
      <c r="A13" s="15" t="s">
        <v>16</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row>
    <row r="14" spans="1:43" x14ac:dyDescent="0.2">
      <c r="A14" s="16" t="s">
        <v>17</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row>
    <row r="15" spans="1:43" x14ac:dyDescent="0.2">
      <c r="A15" s="17" t="s">
        <v>18</v>
      </c>
      <c r="B15" s="22">
        <v>0</v>
      </c>
      <c r="C15" s="22">
        <f>B15+1</f>
        <v>1</v>
      </c>
      <c r="D15" s="22">
        <f t="shared" ref="D15:U15" si="0">C15+1</f>
        <v>2</v>
      </c>
      <c r="E15" s="22">
        <f t="shared" si="0"/>
        <v>3</v>
      </c>
      <c r="F15" s="23">
        <f t="shared" si="0"/>
        <v>4</v>
      </c>
      <c r="G15" s="23">
        <f t="shared" si="0"/>
        <v>5</v>
      </c>
      <c r="H15" s="22">
        <f t="shared" si="0"/>
        <v>6</v>
      </c>
      <c r="I15" s="22">
        <f t="shared" si="0"/>
        <v>7</v>
      </c>
      <c r="J15" s="22">
        <f t="shared" si="0"/>
        <v>8</v>
      </c>
      <c r="K15" s="22">
        <f t="shared" si="0"/>
        <v>9</v>
      </c>
      <c r="L15" s="22">
        <f t="shared" si="0"/>
        <v>10</v>
      </c>
      <c r="M15" s="22">
        <f t="shared" si="0"/>
        <v>11</v>
      </c>
      <c r="N15" s="22">
        <f t="shared" si="0"/>
        <v>12</v>
      </c>
      <c r="O15" s="22">
        <f t="shared" si="0"/>
        <v>13</v>
      </c>
      <c r="P15" s="22">
        <f t="shared" si="0"/>
        <v>14</v>
      </c>
      <c r="Q15" s="22">
        <f t="shared" si="0"/>
        <v>15</v>
      </c>
      <c r="R15" s="22">
        <f t="shared" si="0"/>
        <v>16</v>
      </c>
      <c r="S15" s="22">
        <f t="shared" si="0"/>
        <v>17</v>
      </c>
      <c r="T15" s="22">
        <f t="shared" si="0"/>
        <v>18</v>
      </c>
      <c r="U15" s="22">
        <f t="shared" si="0"/>
        <v>19</v>
      </c>
      <c r="V15" s="22">
        <f>U15+1</f>
        <v>20</v>
      </c>
      <c r="W15" s="14"/>
      <c r="X15" s="14"/>
      <c r="Y15" s="14"/>
      <c r="Z15" s="14"/>
      <c r="AA15" s="14"/>
      <c r="AB15" s="14"/>
      <c r="AC15" s="14"/>
      <c r="AD15" s="14"/>
      <c r="AE15" s="14"/>
      <c r="AF15" s="14"/>
      <c r="AG15" s="14"/>
      <c r="AH15" s="14"/>
      <c r="AI15" s="14"/>
      <c r="AJ15" s="14"/>
      <c r="AK15" s="14"/>
      <c r="AL15" s="14"/>
      <c r="AM15" s="14"/>
      <c r="AN15" s="14"/>
      <c r="AO15" s="14"/>
      <c r="AP15" s="14"/>
      <c r="AQ15" s="14"/>
    </row>
    <row r="16" spans="1:43" x14ac:dyDescent="0.2">
      <c r="A16" s="14" t="s">
        <v>19</v>
      </c>
      <c r="B16" s="14"/>
      <c r="C16" s="13">
        <v>1</v>
      </c>
      <c r="D16" s="24">
        <f>C16*(1-$B$4)</f>
        <v>0.995</v>
      </c>
      <c r="E16" s="24">
        <f t="shared" ref="E16:V16" si="1">D16*(1-$B$4)</f>
        <v>0.99002500000000004</v>
      </c>
      <c r="F16" s="24">
        <f t="shared" si="1"/>
        <v>0.98507487500000002</v>
      </c>
      <c r="G16" s="24">
        <f t="shared" si="1"/>
        <v>0.98014950062500006</v>
      </c>
      <c r="H16" s="24">
        <f t="shared" si="1"/>
        <v>0.97524875312187509</v>
      </c>
      <c r="I16" s="24">
        <f t="shared" si="1"/>
        <v>0.97037250935626573</v>
      </c>
      <c r="J16" s="24">
        <f t="shared" si="1"/>
        <v>0.96552064680948435</v>
      </c>
      <c r="K16" s="24">
        <f t="shared" si="1"/>
        <v>0.96069304357543694</v>
      </c>
      <c r="L16" s="24">
        <f t="shared" si="1"/>
        <v>0.95588957835755972</v>
      </c>
      <c r="M16" s="24">
        <f t="shared" si="1"/>
        <v>0.95111013046577186</v>
      </c>
      <c r="N16" s="24">
        <f t="shared" si="1"/>
        <v>0.94635457981344295</v>
      </c>
      <c r="O16" s="24">
        <f t="shared" si="1"/>
        <v>0.94162280691437572</v>
      </c>
      <c r="P16" s="24">
        <f t="shared" si="1"/>
        <v>0.93691469287980389</v>
      </c>
      <c r="Q16" s="24">
        <f t="shared" si="1"/>
        <v>0.9322301194154049</v>
      </c>
      <c r="R16" s="24">
        <f t="shared" si="1"/>
        <v>0.92756896881832784</v>
      </c>
      <c r="S16" s="24">
        <f t="shared" si="1"/>
        <v>0.92293112397423616</v>
      </c>
      <c r="T16" s="24">
        <f t="shared" si="1"/>
        <v>0.91831646835436498</v>
      </c>
      <c r="U16" s="24">
        <f t="shared" si="1"/>
        <v>0.91372488601259316</v>
      </c>
      <c r="V16" s="24">
        <f t="shared" si="1"/>
        <v>0.90915626158253016</v>
      </c>
      <c r="W16" s="14"/>
      <c r="X16" s="14"/>
      <c r="Y16" s="14"/>
      <c r="Z16" s="14"/>
      <c r="AA16" s="14"/>
      <c r="AB16" s="14"/>
      <c r="AC16" s="14"/>
      <c r="AD16" s="14"/>
      <c r="AE16" s="14"/>
      <c r="AF16" s="14"/>
      <c r="AG16" s="14"/>
      <c r="AH16" s="14"/>
      <c r="AI16" s="14"/>
      <c r="AJ16" s="14"/>
      <c r="AK16" s="14"/>
      <c r="AL16" s="14"/>
      <c r="AM16" s="14"/>
      <c r="AN16" s="14"/>
      <c r="AO16" s="14"/>
      <c r="AP16" s="14"/>
      <c r="AQ16" s="14"/>
    </row>
    <row r="17" spans="1:43" x14ac:dyDescent="0.2">
      <c r="A17" s="14" t="s">
        <v>20</v>
      </c>
      <c r="B17" s="14"/>
      <c r="C17" s="20">
        <f>$B$2*$B$3*8760*C16</f>
        <v>219000</v>
      </c>
      <c r="D17" s="20">
        <f>$B$2*$B$3*8760*D16</f>
        <v>217905</v>
      </c>
      <c r="E17" s="20">
        <f t="shared" ref="E17:V17" si="2">$B$2*$B$3*8760*E16</f>
        <v>216815.47500000001</v>
      </c>
      <c r="F17" s="20">
        <f t="shared" si="2"/>
        <v>215731.39762500001</v>
      </c>
      <c r="G17" s="20">
        <f t="shared" si="2"/>
        <v>214652.74063687501</v>
      </c>
      <c r="H17" s="20">
        <f t="shared" si="2"/>
        <v>213579.47693369063</v>
      </c>
      <c r="I17" s="20">
        <f t="shared" si="2"/>
        <v>212511.57954902219</v>
      </c>
      <c r="J17" s="20">
        <f t="shared" si="2"/>
        <v>211449.02165127709</v>
      </c>
      <c r="K17" s="20">
        <f t="shared" si="2"/>
        <v>210391.77654302068</v>
      </c>
      <c r="L17" s="20">
        <f t="shared" si="2"/>
        <v>209339.81766030559</v>
      </c>
      <c r="M17" s="20">
        <f t="shared" si="2"/>
        <v>208293.11857200405</v>
      </c>
      <c r="N17" s="20">
        <f t="shared" si="2"/>
        <v>207251.65297914401</v>
      </c>
      <c r="O17" s="20">
        <f t="shared" si="2"/>
        <v>206215.39471424828</v>
      </c>
      <c r="P17" s="20">
        <f t="shared" si="2"/>
        <v>205184.31774067704</v>
      </c>
      <c r="Q17" s="20">
        <f t="shared" si="2"/>
        <v>204158.39615197366</v>
      </c>
      <c r="R17" s="20">
        <f t="shared" si="2"/>
        <v>203137.60417121381</v>
      </c>
      <c r="S17" s="20">
        <f t="shared" si="2"/>
        <v>202121.91615035772</v>
      </c>
      <c r="T17" s="20">
        <f t="shared" si="2"/>
        <v>201111.30656960592</v>
      </c>
      <c r="U17" s="20">
        <f t="shared" si="2"/>
        <v>200105.75003675791</v>
      </c>
      <c r="V17" s="20">
        <f t="shared" si="2"/>
        <v>199105.22128657412</v>
      </c>
      <c r="W17" s="14"/>
      <c r="X17" s="14"/>
      <c r="Y17" s="14"/>
      <c r="Z17" s="14"/>
      <c r="AA17" s="14"/>
      <c r="AB17" s="14"/>
      <c r="AC17" s="14"/>
      <c r="AD17" s="14"/>
      <c r="AE17" s="14"/>
      <c r="AF17" s="14"/>
      <c r="AG17" s="14"/>
      <c r="AH17" s="14"/>
      <c r="AI17" s="14"/>
      <c r="AJ17" s="14"/>
      <c r="AK17" s="14"/>
      <c r="AL17" s="14"/>
      <c r="AM17" s="14"/>
      <c r="AN17" s="14"/>
      <c r="AO17" s="14"/>
      <c r="AP17" s="14"/>
      <c r="AQ17" s="14"/>
    </row>
    <row r="18" spans="1:43" x14ac:dyDescent="0.2">
      <c r="A18" s="14" t="s">
        <v>4</v>
      </c>
      <c r="B18" s="14"/>
      <c r="C18" s="14">
        <v>40</v>
      </c>
      <c r="D18" s="14">
        <f>C18*(1+$B$6)</f>
        <v>40.599999999999994</v>
      </c>
      <c r="E18" s="14">
        <f t="shared" ref="E18:V18" si="3">D18*(1+$B$6)</f>
        <v>41.208999999999989</v>
      </c>
      <c r="F18" s="14">
        <f t="shared" si="3"/>
        <v>41.827134999999984</v>
      </c>
      <c r="G18" s="14">
        <f t="shared" si="3"/>
        <v>42.454542024999981</v>
      </c>
      <c r="H18" s="14">
        <f t="shared" si="3"/>
        <v>43.091360155374979</v>
      </c>
      <c r="I18" s="14">
        <f t="shared" si="3"/>
        <v>43.737730557705596</v>
      </c>
      <c r="J18" s="14">
        <f t="shared" si="3"/>
        <v>44.393796516071177</v>
      </c>
      <c r="K18" s="14">
        <f t="shared" si="3"/>
        <v>45.059703463812241</v>
      </c>
      <c r="L18" s="14">
        <f t="shared" si="3"/>
        <v>45.735599015769424</v>
      </c>
      <c r="M18" s="14">
        <f t="shared" si="3"/>
        <v>46.421633001005958</v>
      </c>
      <c r="N18" s="14">
        <f t="shared" si="3"/>
        <v>47.117957496021042</v>
      </c>
      <c r="O18" s="14">
        <f t="shared" si="3"/>
        <v>47.824726858461354</v>
      </c>
      <c r="P18" s="14">
        <f t="shared" si="3"/>
        <v>48.542097761338269</v>
      </c>
      <c r="Q18" s="14">
        <f t="shared" si="3"/>
        <v>49.270229227758335</v>
      </c>
      <c r="R18" s="14">
        <f t="shared" si="3"/>
        <v>50.009282666174705</v>
      </c>
      <c r="S18" s="14">
        <f t="shared" si="3"/>
        <v>50.759421906167319</v>
      </c>
      <c r="T18" s="14">
        <f t="shared" si="3"/>
        <v>51.520813234759821</v>
      </c>
      <c r="U18" s="14">
        <f t="shared" si="3"/>
        <v>52.293625433281214</v>
      </c>
      <c r="V18" s="14">
        <f t="shared" si="3"/>
        <v>53.078029814780429</v>
      </c>
      <c r="W18" s="14"/>
      <c r="X18" s="14"/>
      <c r="Y18" s="14"/>
      <c r="Z18" s="14"/>
      <c r="AA18" s="14"/>
      <c r="AB18" s="14"/>
      <c r="AC18" s="14"/>
      <c r="AD18" s="14"/>
      <c r="AE18" s="14"/>
      <c r="AF18" s="14"/>
      <c r="AG18" s="14"/>
      <c r="AH18" s="14"/>
      <c r="AI18" s="14"/>
      <c r="AJ18" s="14"/>
      <c r="AK18" s="14"/>
      <c r="AL18" s="14"/>
      <c r="AM18" s="14"/>
      <c r="AN18" s="14"/>
      <c r="AO18" s="14"/>
      <c r="AP18" s="14"/>
      <c r="AQ18" s="14"/>
    </row>
    <row r="19" spans="1:43" x14ac:dyDescent="0.2">
      <c r="A19" s="14" t="s">
        <v>21</v>
      </c>
      <c r="B19" s="14"/>
      <c r="C19" s="18">
        <f>C17*C18</f>
        <v>8760000</v>
      </c>
      <c r="D19" s="18">
        <f>D17*D18</f>
        <v>8846942.9999999981</v>
      </c>
      <c r="E19" s="18">
        <f t="shared" ref="E19:V19" si="4">E17*E18</f>
        <v>8934748.9092749972</v>
      </c>
      <c r="F19" s="18">
        <f t="shared" si="4"/>
        <v>9023426.2921995521</v>
      </c>
      <c r="G19" s="18">
        <f t="shared" si="4"/>
        <v>9112983.7981496304</v>
      </c>
      <c r="H19" s="18">
        <f t="shared" si="4"/>
        <v>9203430.1623462662</v>
      </c>
      <c r="I19" s="18">
        <f t="shared" si="4"/>
        <v>9294774.2067075521</v>
      </c>
      <c r="J19" s="18">
        <f t="shared" si="4"/>
        <v>9387024.8407091238</v>
      </c>
      <c r="K19" s="18">
        <f t="shared" si="4"/>
        <v>9480191.0622531604</v>
      </c>
      <c r="L19" s="18">
        <f t="shared" si="4"/>
        <v>9574281.9585460238</v>
      </c>
      <c r="M19" s="18">
        <f t="shared" si="4"/>
        <v>9669306.7069845907</v>
      </c>
      <c r="N19" s="18">
        <f t="shared" si="4"/>
        <v>9765274.5760514103</v>
      </c>
      <c r="O19" s="18">
        <f t="shared" si="4"/>
        <v>9862194.9262187183</v>
      </c>
      <c r="P19" s="18">
        <f t="shared" si="4"/>
        <v>9960077.2108614389</v>
      </c>
      <c r="Q19" s="18">
        <f t="shared" si="4"/>
        <v>10058930.977179237</v>
      </c>
      <c r="R19" s="18">
        <f t="shared" si="4"/>
        <v>10158765.867127741</v>
      </c>
      <c r="S19" s="18">
        <f t="shared" si="4"/>
        <v>10259591.618358981</v>
      </c>
      <c r="T19" s="18">
        <f t="shared" si="4"/>
        <v>10361418.065171193</v>
      </c>
      <c r="U19" s="18">
        <f t="shared" si="4"/>
        <v>10464255.139468016</v>
      </c>
      <c r="V19" s="18">
        <f t="shared" si="4"/>
        <v>10568112.871727236</v>
      </c>
      <c r="W19" s="14"/>
      <c r="X19" s="14"/>
      <c r="Y19" s="14"/>
      <c r="Z19" s="14"/>
      <c r="AA19" s="14"/>
      <c r="AB19" s="14"/>
      <c r="AC19" s="14"/>
      <c r="AD19" s="14"/>
      <c r="AE19" s="14"/>
      <c r="AF19" s="14"/>
      <c r="AG19" s="14"/>
      <c r="AH19" s="14"/>
      <c r="AI19" s="14"/>
      <c r="AJ19" s="14"/>
      <c r="AK19" s="14"/>
      <c r="AL19" s="14"/>
      <c r="AM19" s="14"/>
      <c r="AN19" s="14"/>
      <c r="AO19" s="14"/>
      <c r="AP19" s="14"/>
      <c r="AQ19" s="14"/>
    </row>
    <row r="20" spans="1:43" x14ac:dyDescent="0.2">
      <c r="A20" s="14" t="s">
        <v>22</v>
      </c>
      <c r="B20" s="14"/>
      <c r="C20" s="18">
        <f>B7*B2</f>
        <v>1500000</v>
      </c>
      <c r="D20" s="18">
        <f>C20*(1+$B$8)</f>
        <v>1530000</v>
      </c>
      <c r="E20" s="18">
        <f t="shared" ref="E20:V20" si="5">D20*(1+$B$8)</f>
        <v>1560600</v>
      </c>
      <c r="F20" s="18">
        <f t="shared" si="5"/>
        <v>1591812</v>
      </c>
      <c r="G20" s="18">
        <f t="shared" si="5"/>
        <v>1623648.24</v>
      </c>
      <c r="H20" s="18">
        <f t="shared" si="5"/>
        <v>1656121.2047999999</v>
      </c>
      <c r="I20" s="18">
        <f t="shared" si="5"/>
        <v>1689243.6288959999</v>
      </c>
      <c r="J20" s="18">
        <f t="shared" si="5"/>
        <v>1723028.50147392</v>
      </c>
      <c r="K20" s="18">
        <f t="shared" si="5"/>
        <v>1757489.0715033985</v>
      </c>
      <c r="L20" s="18">
        <f t="shared" si="5"/>
        <v>1792638.8529334664</v>
      </c>
      <c r="M20" s="18">
        <f t="shared" si="5"/>
        <v>1828491.6299921358</v>
      </c>
      <c r="N20" s="18">
        <f t="shared" si="5"/>
        <v>1865061.4625919785</v>
      </c>
      <c r="O20" s="18">
        <f t="shared" si="5"/>
        <v>1902362.6918438182</v>
      </c>
      <c r="P20" s="18">
        <f t="shared" si="5"/>
        <v>1940409.9456806947</v>
      </c>
      <c r="Q20" s="18">
        <f t="shared" si="5"/>
        <v>1979218.1445943087</v>
      </c>
      <c r="R20" s="18">
        <f t="shared" si="5"/>
        <v>2018802.5074861948</v>
      </c>
      <c r="S20" s="18">
        <f t="shared" si="5"/>
        <v>2059178.5576359187</v>
      </c>
      <c r="T20" s="18">
        <f t="shared" si="5"/>
        <v>2100362.128788637</v>
      </c>
      <c r="U20" s="18">
        <f t="shared" si="5"/>
        <v>2142369.3713644096</v>
      </c>
      <c r="V20" s="18">
        <f t="shared" si="5"/>
        <v>2185216.7587916977</v>
      </c>
      <c r="W20" s="14"/>
      <c r="X20" s="14"/>
      <c r="Y20" s="14"/>
      <c r="Z20" s="14"/>
      <c r="AA20" s="14"/>
      <c r="AB20" s="14"/>
      <c r="AC20" s="14"/>
      <c r="AD20" s="14"/>
      <c r="AE20" s="14"/>
      <c r="AF20" s="14"/>
      <c r="AG20" s="14"/>
      <c r="AH20" s="14"/>
      <c r="AI20" s="14"/>
      <c r="AJ20" s="14"/>
      <c r="AK20" s="14"/>
      <c r="AL20" s="14"/>
      <c r="AM20" s="14"/>
      <c r="AN20" s="14"/>
      <c r="AO20" s="14"/>
      <c r="AP20" s="14"/>
      <c r="AQ20" s="14"/>
    </row>
    <row r="21" spans="1:43" x14ac:dyDescent="0.2">
      <c r="A21" s="16" t="s">
        <v>23</v>
      </c>
      <c r="B21" s="16"/>
      <c r="C21" s="21">
        <f>C19-C20</f>
        <v>7260000</v>
      </c>
      <c r="D21" s="21">
        <f>D19-D20</f>
        <v>7316942.9999999981</v>
      </c>
      <c r="E21" s="21">
        <f t="shared" ref="E21:V21" si="6">E19-E20</f>
        <v>7374148.9092749972</v>
      </c>
      <c r="F21" s="21">
        <f t="shared" si="6"/>
        <v>7431614.2921995521</v>
      </c>
      <c r="G21" s="21">
        <f t="shared" si="6"/>
        <v>7489335.5581496302</v>
      </c>
      <c r="H21" s="21">
        <f t="shared" si="6"/>
        <v>7547308.9575462658</v>
      </c>
      <c r="I21" s="21">
        <f t="shared" si="6"/>
        <v>7605530.5778115522</v>
      </c>
      <c r="J21" s="21">
        <f t="shared" si="6"/>
        <v>7663996.3392352033</v>
      </c>
      <c r="K21" s="21">
        <f t="shared" si="6"/>
        <v>7722701.9907497615</v>
      </c>
      <c r="L21" s="21">
        <f t="shared" si="6"/>
        <v>7781643.1056125574</v>
      </c>
      <c r="M21" s="21">
        <f t="shared" si="6"/>
        <v>7840815.0769924549</v>
      </c>
      <c r="N21" s="21">
        <f t="shared" si="6"/>
        <v>7900213.1134594316</v>
      </c>
      <c r="O21" s="21">
        <f t="shared" si="6"/>
        <v>7959832.2343749003</v>
      </c>
      <c r="P21" s="21">
        <f t="shared" si="6"/>
        <v>8019667.2651807442</v>
      </c>
      <c r="Q21" s="21">
        <f t="shared" si="6"/>
        <v>8079712.8325849278</v>
      </c>
      <c r="R21" s="21">
        <f t="shared" si="6"/>
        <v>8139963.3596415464</v>
      </c>
      <c r="S21" s="21">
        <f t="shared" si="6"/>
        <v>8200413.0607230626</v>
      </c>
      <c r="T21" s="21">
        <f t="shared" si="6"/>
        <v>8261055.9363825563</v>
      </c>
      <c r="U21" s="21">
        <f t="shared" si="6"/>
        <v>8321885.768103607</v>
      </c>
      <c r="V21" s="21">
        <f t="shared" si="6"/>
        <v>8382896.1129355375</v>
      </c>
      <c r="W21" s="14"/>
      <c r="X21" s="14"/>
      <c r="Y21" s="14"/>
      <c r="Z21" s="14"/>
      <c r="AA21" s="14"/>
      <c r="AB21" s="14"/>
      <c r="AC21" s="14"/>
      <c r="AD21" s="14"/>
      <c r="AE21" s="14"/>
      <c r="AF21" s="14"/>
      <c r="AG21" s="14"/>
      <c r="AH21" s="14"/>
      <c r="AI21" s="14"/>
      <c r="AJ21" s="14"/>
      <c r="AK21" s="14"/>
      <c r="AL21" s="14"/>
      <c r="AM21" s="14"/>
      <c r="AN21" s="14"/>
      <c r="AO21" s="14"/>
      <c r="AP21" s="14"/>
      <c r="AQ21" s="14"/>
    </row>
    <row r="22" spans="1:43" x14ac:dyDescent="0.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x14ac:dyDescent="0.2">
      <c r="A23" s="14" t="s">
        <v>26</v>
      </c>
      <c r="B23" s="18">
        <f>-(B9*B2)</f>
        <v>-100000000</v>
      </c>
      <c r="C23" s="25">
        <v>0</v>
      </c>
      <c r="D23" s="25">
        <v>0</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0</v>
      </c>
      <c r="W23" s="14"/>
      <c r="X23" s="14"/>
      <c r="Y23" s="14"/>
      <c r="Z23" s="14"/>
      <c r="AA23" s="14"/>
      <c r="AB23" s="14"/>
      <c r="AC23" s="14"/>
      <c r="AD23" s="14"/>
      <c r="AE23" s="14"/>
      <c r="AF23" s="14"/>
      <c r="AG23" s="14"/>
      <c r="AH23" s="14"/>
      <c r="AI23" s="14"/>
      <c r="AJ23" s="14"/>
      <c r="AK23" s="14"/>
      <c r="AL23" s="14"/>
      <c r="AM23" s="14"/>
      <c r="AN23" s="14"/>
      <c r="AO23" s="14"/>
      <c r="AP23" s="14"/>
      <c r="AQ23" s="14"/>
    </row>
    <row r="24" spans="1:43" x14ac:dyDescent="0.2">
      <c r="A24" s="14" t="s">
        <v>25</v>
      </c>
      <c r="B24" s="26"/>
      <c r="C24" s="18">
        <f>-($B$9*$B$2)/20</f>
        <v>-5000000</v>
      </c>
      <c r="D24" s="18">
        <f t="shared" ref="D24:V24" si="7">-($B$9*$B$2)/20</f>
        <v>-5000000</v>
      </c>
      <c r="E24" s="18">
        <f t="shared" si="7"/>
        <v>-5000000</v>
      </c>
      <c r="F24" s="18">
        <f t="shared" si="7"/>
        <v>-5000000</v>
      </c>
      <c r="G24" s="18">
        <f t="shared" si="7"/>
        <v>-5000000</v>
      </c>
      <c r="H24" s="18">
        <f t="shared" si="7"/>
        <v>-5000000</v>
      </c>
      <c r="I24" s="18">
        <f t="shared" si="7"/>
        <v>-5000000</v>
      </c>
      <c r="J24" s="18">
        <f t="shared" si="7"/>
        <v>-5000000</v>
      </c>
      <c r="K24" s="18">
        <f t="shared" si="7"/>
        <v>-5000000</v>
      </c>
      <c r="L24" s="18">
        <f t="shared" si="7"/>
        <v>-5000000</v>
      </c>
      <c r="M24" s="18">
        <f t="shared" si="7"/>
        <v>-5000000</v>
      </c>
      <c r="N24" s="18">
        <f t="shared" si="7"/>
        <v>-5000000</v>
      </c>
      <c r="O24" s="18">
        <f t="shared" si="7"/>
        <v>-5000000</v>
      </c>
      <c r="P24" s="18">
        <f t="shared" si="7"/>
        <v>-5000000</v>
      </c>
      <c r="Q24" s="18">
        <f t="shared" si="7"/>
        <v>-5000000</v>
      </c>
      <c r="R24" s="18">
        <f t="shared" si="7"/>
        <v>-5000000</v>
      </c>
      <c r="S24" s="18">
        <f t="shared" si="7"/>
        <v>-5000000</v>
      </c>
      <c r="T24" s="18">
        <f t="shared" si="7"/>
        <v>-5000000</v>
      </c>
      <c r="U24" s="18">
        <f t="shared" si="7"/>
        <v>-5000000</v>
      </c>
      <c r="V24" s="18">
        <f t="shared" si="7"/>
        <v>-5000000</v>
      </c>
      <c r="W24" s="14"/>
      <c r="X24" s="14"/>
      <c r="Y24" s="14"/>
      <c r="Z24" s="14"/>
      <c r="AA24" s="14"/>
      <c r="AB24" s="14"/>
      <c r="AC24" s="14"/>
      <c r="AD24" s="14"/>
      <c r="AE24" s="14"/>
      <c r="AF24" s="14"/>
      <c r="AG24" s="14"/>
      <c r="AH24" s="14"/>
      <c r="AI24" s="14"/>
      <c r="AJ24" s="14"/>
      <c r="AK24" s="14"/>
      <c r="AL24" s="14"/>
      <c r="AM24" s="14"/>
      <c r="AN24" s="14"/>
      <c r="AO24" s="14"/>
      <c r="AP24" s="14"/>
      <c r="AQ24" s="14"/>
    </row>
    <row r="25" spans="1:43" x14ac:dyDescent="0.2">
      <c r="A25" s="14" t="s">
        <v>24</v>
      </c>
      <c r="B25" s="26"/>
      <c r="C25" s="18">
        <f>C21+C24</f>
        <v>2260000</v>
      </c>
      <c r="D25" s="18">
        <f>D21+D24</f>
        <v>2316942.9999999981</v>
      </c>
      <c r="E25" s="18">
        <f t="shared" ref="E25:V25" si="8">E21+E24</f>
        <v>2374148.9092749972</v>
      </c>
      <c r="F25" s="18">
        <f t="shared" si="8"/>
        <v>2431614.2921995521</v>
      </c>
      <c r="G25" s="18">
        <f t="shared" si="8"/>
        <v>2489335.5581496302</v>
      </c>
      <c r="H25" s="18">
        <f t="shared" si="8"/>
        <v>2547308.9575462658</v>
      </c>
      <c r="I25" s="18">
        <f t="shared" si="8"/>
        <v>2605530.5778115522</v>
      </c>
      <c r="J25" s="18">
        <f t="shared" si="8"/>
        <v>2663996.3392352033</v>
      </c>
      <c r="K25" s="18">
        <f t="shared" si="8"/>
        <v>2722701.9907497615</v>
      </c>
      <c r="L25" s="18">
        <f t="shared" si="8"/>
        <v>2781643.1056125574</v>
      </c>
      <c r="M25" s="18">
        <f t="shared" si="8"/>
        <v>2840815.0769924549</v>
      </c>
      <c r="N25" s="18">
        <f t="shared" si="8"/>
        <v>2900213.1134594316</v>
      </c>
      <c r="O25" s="18">
        <f t="shared" si="8"/>
        <v>2959832.2343749003</v>
      </c>
      <c r="P25" s="18">
        <f t="shared" si="8"/>
        <v>3019667.2651807442</v>
      </c>
      <c r="Q25" s="18">
        <f t="shared" si="8"/>
        <v>3079712.8325849278</v>
      </c>
      <c r="R25" s="18">
        <f t="shared" si="8"/>
        <v>3139963.3596415464</v>
      </c>
      <c r="S25" s="18">
        <f t="shared" si="8"/>
        <v>3200413.0607230626</v>
      </c>
      <c r="T25" s="18">
        <f t="shared" si="8"/>
        <v>3261055.9363825563</v>
      </c>
      <c r="U25" s="18">
        <f t="shared" si="8"/>
        <v>3321885.768103607</v>
      </c>
      <c r="V25" s="18">
        <f t="shared" si="8"/>
        <v>3382896.1129355375</v>
      </c>
      <c r="W25" s="14"/>
      <c r="X25" s="14"/>
      <c r="Y25" s="14"/>
      <c r="Z25" s="14"/>
      <c r="AA25" s="14"/>
      <c r="AB25" s="14"/>
      <c r="AC25" s="14"/>
      <c r="AD25" s="14"/>
      <c r="AE25" s="14"/>
      <c r="AF25" s="14"/>
      <c r="AG25" s="14"/>
      <c r="AH25" s="14"/>
      <c r="AI25" s="14"/>
      <c r="AJ25" s="14"/>
      <c r="AK25" s="14"/>
      <c r="AL25" s="14"/>
      <c r="AM25" s="14"/>
      <c r="AN25" s="14"/>
      <c r="AO25" s="14"/>
      <c r="AP25" s="14"/>
      <c r="AQ25" s="14"/>
    </row>
    <row r="26" spans="1:43" x14ac:dyDescent="0.2">
      <c r="A26" s="14" t="s">
        <v>27</v>
      </c>
      <c r="B26" s="26"/>
      <c r="C26" s="18">
        <f>MAX(C25,0)*$B$10</f>
        <v>474600</v>
      </c>
      <c r="D26" s="18">
        <f t="shared" ref="D26:V26" si="9">MAX(D25,0)*$B$10</f>
        <v>486558.02999999956</v>
      </c>
      <c r="E26" s="18">
        <f t="shared" si="9"/>
        <v>498571.27094774938</v>
      </c>
      <c r="F26" s="18">
        <f t="shared" si="9"/>
        <v>510639.00136190589</v>
      </c>
      <c r="G26" s="18">
        <f t="shared" si="9"/>
        <v>522760.46721142234</v>
      </c>
      <c r="H26" s="18">
        <f t="shared" si="9"/>
        <v>534934.88108471583</v>
      </c>
      <c r="I26" s="18">
        <f t="shared" si="9"/>
        <v>547161.42134042596</v>
      </c>
      <c r="J26" s="18">
        <f t="shared" si="9"/>
        <v>559439.23123939265</v>
      </c>
      <c r="K26" s="18">
        <f t="shared" si="9"/>
        <v>571767.41805744986</v>
      </c>
      <c r="L26" s="18">
        <f t="shared" si="9"/>
        <v>584145.05217863701</v>
      </c>
      <c r="M26" s="18">
        <f t="shared" si="9"/>
        <v>596571.16616841557</v>
      </c>
      <c r="N26" s="18">
        <f t="shared" si="9"/>
        <v>609044.75382648059</v>
      </c>
      <c r="O26" s="18">
        <f t="shared" si="9"/>
        <v>621564.76921872899</v>
      </c>
      <c r="P26" s="18">
        <f t="shared" si="9"/>
        <v>634130.12568795623</v>
      </c>
      <c r="Q26" s="18">
        <f t="shared" si="9"/>
        <v>646739.69484283484</v>
      </c>
      <c r="R26" s="18">
        <f t="shared" si="9"/>
        <v>659392.30552472477</v>
      </c>
      <c r="S26" s="18">
        <f t="shared" si="9"/>
        <v>672086.74275184318</v>
      </c>
      <c r="T26" s="18">
        <f t="shared" si="9"/>
        <v>684821.74664033682</v>
      </c>
      <c r="U26" s="18">
        <f t="shared" si="9"/>
        <v>697596.01130175742</v>
      </c>
      <c r="V26" s="18">
        <f t="shared" si="9"/>
        <v>710408.18371646281</v>
      </c>
      <c r="W26" s="14"/>
      <c r="X26" s="14"/>
      <c r="Y26" s="14"/>
      <c r="Z26" s="14"/>
      <c r="AA26" s="14"/>
      <c r="AB26" s="14"/>
      <c r="AC26" s="14"/>
      <c r="AD26" s="14"/>
      <c r="AE26" s="14"/>
      <c r="AF26" s="14"/>
      <c r="AG26" s="14"/>
      <c r="AH26" s="14"/>
      <c r="AI26" s="14"/>
      <c r="AJ26" s="14"/>
      <c r="AK26" s="14"/>
      <c r="AL26" s="14"/>
      <c r="AM26" s="14"/>
      <c r="AN26" s="14"/>
      <c r="AO26" s="14"/>
      <c r="AP26" s="14"/>
      <c r="AQ26" s="14"/>
    </row>
    <row r="27" spans="1:43" x14ac:dyDescent="0.2">
      <c r="A27" s="16" t="s">
        <v>28</v>
      </c>
      <c r="B27" s="21">
        <f>B23</f>
        <v>-100000000</v>
      </c>
      <c r="C27" s="21">
        <f>C21-C26</f>
        <v>6785400</v>
      </c>
      <c r="D27" s="21">
        <f t="shared" ref="D27:V27" si="10">D21-D26</f>
        <v>6830384.9699999988</v>
      </c>
      <c r="E27" s="21">
        <f t="shared" si="10"/>
        <v>6875577.6383272475</v>
      </c>
      <c r="F27" s="21">
        <f t="shared" si="10"/>
        <v>6920975.2908376465</v>
      </c>
      <c r="G27" s="21">
        <f t="shared" si="10"/>
        <v>6966575.0909382077</v>
      </c>
      <c r="H27" s="21">
        <f t="shared" si="10"/>
        <v>7012374.0764615498</v>
      </c>
      <c r="I27" s="21">
        <f t="shared" si="10"/>
        <v>7058369.1564711258</v>
      </c>
      <c r="J27" s="21">
        <f t="shared" si="10"/>
        <v>7104557.1079958109</v>
      </c>
      <c r="K27" s="21">
        <f t="shared" si="10"/>
        <v>7150934.5726923114</v>
      </c>
      <c r="L27" s="21">
        <f t="shared" si="10"/>
        <v>7197498.0534339203</v>
      </c>
      <c r="M27" s="21">
        <f t="shared" si="10"/>
        <v>7244243.910824039</v>
      </c>
      <c r="N27" s="21">
        <f t="shared" si="10"/>
        <v>7291168.3596329512</v>
      </c>
      <c r="O27" s="21">
        <f t="shared" si="10"/>
        <v>7338267.4651561715</v>
      </c>
      <c r="P27" s="21">
        <f t="shared" si="10"/>
        <v>7385537.1394927884</v>
      </c>
      <c r="Q27" s="21">
        <f t="shared" si="10"/>
        <v>7432973.1377420928</v>
      </c>
      <c r="R27" s="21">
        <f t="shared" si="10"/>
        <v>7480571.0541168218</v>
      </c>
      <c r="S27" s="21">
        <f t="shared" si="10"/>
        <v>7528326.3179712193</v>
      </c>
      <c r="T27" s="21">
        <f t="shared" si="10"/>
        <v>7576234.1897422196</v>
      </c>
      <c r="U27" s="21">
        <f t="shared" si="10"/>
        <v>7624289.7568018492</v>
      </c>
      <c r="V27" s="21">
        <f t="shared" si="10"/>
        <v>7672487.9292190745</v>
      </c>
      <c r="W27" s="14"/>
      <c r="X27" s="14"/>
      <c r="Y27" s="14"/>
      <c r="Z27" s="14"/>
      <c r="AA27" s="14"/>
      <c r="AB27" s="14"/>
      <c r="AC27" s="14"/>
      <c r="AD27" s="14"/>
      <c r="AE27" s="14"/>
      <c r="AF27" s="14"/>
      <c r="AG27" s="14"/>
      <c r="AH27" s="14"/>
      <c r="AI27" s="14"/>
      <c r="AJ27" s="14"/>
      <c r="AK27" s="14"/>
      <c r="AL27" s="14"/>
      <c r="AM27" s="14"/>
      <c r="AN27" s="14"/>
      <c r="AO27" s="14"/>
      <c r="AP27" s="14"/>
      <c r="AQ27" s="14"/>
    </row>
    <row r="28" spans="1:43" x14ac:dyDescent="0.2">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row>
    <row r="29" spans="1:43"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row>
    <row r="30" spans="1:43" ht="19" x14ac:dyDescent="0.25">
      <c r="A30" s="31" t="s">
        <v>29</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row>
    <row r="31" spans="1:43" x14ac:dyDescent="0.2">
      <c r="A31" s="27" t="s">
        <v>30</v>
      </c>
      <c r="B31" s="28">
        <f>IRR(B27:V27)</f>
        <v>3.7059567547608863E-2</v>
      </c>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row>
    <row r="32" spans="1:43" x14ac:dyDescent="0.2">
      <c r="A32" s="29" t="s">
        <v>31</v>
      </c>
      <c r="B32" s="30">
        <f>NPV(B11,C27:V27)+B27</f>
        <v>-30202650.893922105</v>
      </c>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row>
    <row r="33" spans="1:43" x14ac:dyDescent="0.2">
      <c r="A33" s="14"/>
      <c r="B33" s="40"/>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row>
    <row r="34" spans="1:43" x14ac:dyDescent="0.2">
      <c r="A34" s="14" t="s">
        <v>48</v>
      </c>
      <c r="B34" s="40"/>
      <c r="C34" s="18">
        <f>C27/$F$2</f>
        <v>5219538.461538461</v>
      </c>
      <c r="D34" s="18">
        <f>D27/$F$2</f>
        <v>5254142.2846153835</v>
      </c>
      <c r="E34" s="18">
        <f t="shared" ref="E34:Q34" si="11">E27/$F$2</f>
        <v>5288905.8756363438</v>
      </c>
      <c r="F34" s="18">
        <f t="shared" si="11"/>
        <v>5323827.1467981897</v>
      </c>
      <c r="G34" s="18">
        <f t="shared" si="11"/>
        <v>5358903.9161063135</v>
      </c>
      <c r="H34" s="18">
        <f t="shared" si="11"/>
        <v>5394133.9049704224</v>
      </c>
      <c r="I34" s="18">
        <f t="shared" si="11"/>
        <v>5429514.7357470198</v>
      </c>
      <c r="J34" s="18">
        <f t="shared" si="11"/>
        <v>5465043.9292275468</v>
      </c>
      <c r="K34" s="18">
        <f t="shared" si="11"/>
        <v>5500718.9020710085</v>
      </c>
      <c r="L34" s="18">
        <f t="shared" si="11"/>
        <v>5536536.9641799387</v>
      </c>
      <c r="M34" s="18">
        <f t="shared" si="11"/>
        <v>5572495.3160184911</v>
      </c>
      <c r="N34" s="18">
        <f t="shared" si="11"/>
        <v>5608591.0458715009</v>
      </c>
      <c r="O34" s="18">
        <f t="shared" si="11"/>
        <v>5644821.127043209</v>
      </c>
      <c r="P34" s="18">
        <f t="shared" si="11"/>
        <v>5681182.4149944521</v>
      </c>
      <c r="Q34" s="18">
        <f t="shared" si="11"/>
        <v>5717671.6444169944</v>
      </c>
      <c r="R34" s="19">
        <v>0</v>
      </c>
      <c r="S34" s="19">
        <v>0</v>
      </c>
      <c r="T34" s="19">
        <v>0</v>
      </c>
      <c r="U34" s="19">
        <v>0</v>
      </c>
      <c r="V34" s="19">
        <v>0</v>
      </c>
      <c r="W34" s="14"/>
      <c r="X34" s="14"/>
      <c r="Y34" s="14"/>
      <c r="Z34" s="14"/>
      <c r="AA34" s="14"/>
      <c r="AB34" s="14"/>
      <c r="AC34" s="14"/>
      <c r="AD34" s="14"/>
      <c r="AE34" s="14"/>
      <c r="AF34" s="14"/>
      <c r="AG34" s="14"/>
      <c r="AH34" s="14"/>
      <c r="AI34" s="14"/>
      <c r="AJ34" s="14"/>
      <c r="AK34" s="14"/>
      <c r="AL34" s="14"/>
      <c r="AM34" s="14"/>
      <c r="AN34" s="14"/>
      <c r="AO34" s="14"/>
      <c r="AP34" s="14"/>
      <c r="AQ34" s="14"/>
    </row>
    <row r="35" spans="1:43" x14ac:dyDescent="0.2">
      <c r="A35" s="14" t="s">
        <v>47</v>
      </c>
      <c r="B35" s="40"/>
      <c r="C35" s="18">
        <f>NPV(F4,C34:Q34)</f>
        <v>52720156.609509438</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row>
    <row r="36" spans="1:43" x14ac:dyDescent="0.2">
      <c r="A36" s="14"/>
      <c r="B36" s="40"/>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row>
    <row r="37" spans="1:43" x14ac:dyDescent="0.2">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row>
    <row r="38" spans="1:43" x14ac:dyDescent="0.2">
      <c r="A38" s="16" t="s">
        <v>32</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row>
    <row r="39" spans="1:43" x14ac:dyDescent="0.2">
      <c r="A39" s="17" t="s">
        <v>18</v>
      </c>
      <c r="B39" s="22">
        <v>0</v>
      </c>
      <c r="C39" s="22">
        <f>B39+1</f>
        <v>1</v>
      </c>
      <c r="D39" s="22">
        <f t="shared" ref="D39:U39" si="12">C39+1</f>
        <v>2</v>
      </c>
      <c r="E39" s="22">
        <f t="shared" si="12"/>
        <v>3</v>
      </c>
      <c r="F39" s="23">
        <f t="shared" si="12"/>
        <v>4</v>
      </c>
      <c r="G39" s="23">
        <f t="shared" si="12"/>
        <v>5</v>
      </c>
      <c r="H39" s="22">
        <f t="shared" si="12"/>
        <v>6</v>
      </c>
      <c r="I39" s="22">
        <f t="shared" si="12"/>
        <v>7</v>
      </c>
      <c r="J39" s="22">
        <f t="shared" si="12"/>
        <v>8</v>
      </c>
      <c r="K39" s="22">
        <f t="shared" si="12"/>
        <v>9</v>
      </c>
      <c r="L39" s="22">
        <f t="shared" si="12"/>
        <v>10</v>
      </c>
      <c r="M39" s="22">
        <f t="shared" si="12"/>
        <v>11</v>
      </c>
      <c r="N39" s="22">
        <f t="shared" si="12"/>
        <v>12</v>
      </c>
      <c r="O39" s="22">
        <f t="shared" si="12"/>
        <v>13</v>
      </c>
      <c r="P39" s="22">
        <f t="shared" si="12"/>
        <v>14</v>
      </c>
      <c r="Q39" s="22">
        <f t="shared" si="12"/>
        <v>15</v>
      </c>
      <c r="R39" s="22">
        <f t="shared" si="12"/>
        <v>16</v>
      </c>
      <c r="S39" s="22">
        <f t="shared" si="12"/>
        <v>17</v>
      </c>
      <c r="T39" s="22">
        <f t="shared" si="12"/>
        <v>18</v>
      </c>
      <c r="U39" s="22">
        <f t="shared" si="12"/>
        <v>19</v>
      </c>
      <c r="V39" s="22">
        <f>U39+1</f>
        <v>20</v>
      </c>
      <c r="W39" s="14"/>
      <c r="X39" s="14"/>
      <c r="Y39" s="14"/>
      <c r="Z39" s="14"/>
      <c r="AA39" s="14"/>
      <c r="AB39" s="14"/>
      <c r="AC39" s="14"/>
      <c r="AD39" s="14"/>
      <c r="AE39" s="14"/>
      <c r="AF39" s="14"/>
      <c r="AG39" s="14"/>
      <c r="AH39" s="14"/>
      <c r="AI39" s="14"/>
      <c r="AJ39" s="14"/>
      <c r="AK39" s="14"/>
      <c r="AL39" s="14"/>
      <c r="AM39" s="14"/>
      <c r="AN39" s="14"/>
      <c r="AO39" s="14"/>
      <c r="AP39" s="14"/>
      <c r="AQ39" s="14"/>
    </row>
    <row r="40" spans="1:43" x14ac:dyDescent="0.2">
      <c r="A40" s="14" t="s">
        <v>33</v>
      </c>
      <c r="B40" s="18">
        <f>-C35</f>
        <v>-52720156.609509438</v>
      </c>
      <c r="C40" s="19">
        <v>0</v>
      </c>
      <c r="D40" s="19">
        <v>0</v>
      </c>
      <c r="E40" s="19">
        <v>0</v>
      </c>
      <c r="F40" s="19">
        <v>0</v>
      </c>
      <c r="G40" s="19">
        <v>0</v>
      </c>
      <c r="H40" s="19">
        <v>0</v>
      </c>
      <c r="I40" s="19">
        <v>0</v>
      </c>
      <c r="J40" s="19">
        <v>0</v>
      </c>
      <c r="K40" s="19">
        <v>0</v>
      </c>
      <c r="L40" s="19">
        <v>0</v>
      </c>
      <c r="M40" s="19">
        <v>0</v>
      </c>
      <c r="N40" s="19">
        <v>0</v>
      </c>
      <c r="O40" s="19">
        <v>0</v>
      </c>
      <c r="P40" s="19">
        <v>0</v>
      </c>
      <c r="Q40" s="19">
        <v>0</v>
      </c>
      <c r="R40" s="19">
        <v>0</v>
      </c>
      <c r="S40" s="19">
        <v>0</v>
      </c>
      <c r="T40" s="19">
        <v>0</v>
      </c>
      <c r="U40" s="19">
        <v>0</v>
      </c>
      <c r="V40" s="19">
        <v>0</v>
      </c>
      <c r="W40" s="14"/>
      <c r="X40" s="14"/>
      <c r="Y40" s="14"/>
      <c r="Z40" s="14"/>
      <c r="AA40" s="14"/>
      <c r="AB40" s="14"/>
      <c r="AC40" s="14"/>
      <c r="AD40" s="14"/>
      <c r="AE40" s="14"/>
      <c r="AF40" s="14"/>
      <c r="AG40" s="14"/>
      <c r="AH40" s="14"/>
      <c r="AI40" s="14"/>
      <c r="AJ40" s="14"/>
      <c r="AK40" s="14"/>
      <c r="AL40" s="14"/>
      <c r="AM40" s="14"/>
      <c r="AN40" s="14"/>
      <c r="AO40" s="14"/>
      <c r="AP40" s="14"/>
      <c r="AQ40" s="14"/>
    </row>
    <row r="41" spans="1:43" x14ac:dyDescent="0.2">
      <c r="A41" s="14" t="s">
        <v>34</v>
      </c>
      <c r="B41" s="32">
        <v>0</v>
      </c>
      <c r="C41" s="18">
        <f>-B40</f>
        <v>52720156.609509438</v>
      </c>
      <c r="D41" s="18">
        <f>C44</f>
        <v>50663827.544541545</v>
      </c>
      <c r="E41" s="18">
        <f t="shared" ref="E41:Q41" si="13">D44</f>
        <v>48449514.912598655</v>
      </c>
      <c r="F41" s="18">
        <f t="shared" si="13"/>
        <v>46067579.93171823</v>
      </c>
      <c r="G41" s="18">
        <f t="shared" si="13"/>
        <v>43507807.580823131</v>
      </c>
      <c r="H41" s="18">
        <f t="shared" si="13"/>
        <v>40759372.119566202</v>
      </c>
      <c r="I41" s="18">
        <f t="shared" si="13"/>
        <v>37810800.54176975</v>
      </c>
      <c r="J41" s="18">
        <f t="shared" si="13"/>
        <v>34649933.838528916</v>
      </c>
      <c r="K41" s="18">
        <f t="shared" si="13"/>
        <v>31263885.939613104</v>
      </c>
      <c r="L41" s="18">
        <f t="shared" si="13"/>
        <v>27639000.19391888</v>
      </c>
      <c r="M41" s="18">
        <f t="shared" si="13"/>
        <v>23760803.241374075</v>
      </c>
      <c r="N41" s="18">
        <f t="shared" si="13"/>
        <v>19613956.119838029</v>
      </c>
      <c r="O41" s="18">
        <f t="shared" si="13"/>
        <v>15182202.44115681</v>
      </c>
      <c r="P41" s="18">
        <f t="shared" si="13"/>
        <v>10448313.460583009</v>
      </c>
      <c r="Q41" s="18">
        <f t="shared" si="13"/>
        <v>5394029.8532235371</v>
      </c>
      <c r="R41" s="18">
        <f>Q44</f>
        <v>-4.4703483581542969E-8</v>
      </c>
      <c r="S41" s="18">
        <f t="shared" ref="S41:V41" si="14">R44</f>
        <v>-4.4703483581542969E-8</v>
      </c>
      <c r="T41" s="18">
        <f t="shared" si="14"/>
        <v>-4.4703483581542969E-8</v>
      </c>
      <c r="U41" s="18">
        <f t="shared" si="14"/>
        <v>-4.4703483581542969E-8</v>
      </c>
      <c r="V41" s="18">
        <f t="shared" si="14"/>
        <v>-4.4703483581542969E-8</v>
      </c>
      <c r="W41" s="14"/>
      <c r="X41" s="14"/>
      <c r="Y41" s="14"/>
      <c r="Z41" s="14"/>
      <c r="AA41" s="14"/>
      <c r="AB41" s="14"/>
      <c r="AC41" s="14"/>
      <c r="AD41" s="14"/>
      <c r="AE41" s="14"/>
      <c r="AF41" s="14"/>
      <c r="AG41" s="14"/>
      <c r="AH41" s="14"/>
      <c r="AI41" s="14"/>
      <c r="AJ41" s="14"/>
      <c r="AK41" s="14"/>
      <c r="AL41" s="14"/>
      <c r="AM41" s="14"/>
      <c r="AN41" s="14"/>
      <c r="AO41" s="14"/>
      <c r="AP41" s="14"/>
      <c r="AQ41" s="14"/>
    </row>
    <row r="42" spans="1:43" x14ac:dyDescent="0.2">
      <c r="A42" s="14" t="s">
        <v>35</v>
      </c>
      <c r="B42" s="14"/>
      <c r="C42" s="20">
        <f>IF(C39&lt;=$F$5,C41*$F$4,0)</f>
        <v>3163209.3965705661</v>
      </c>
      <c r="D42" s="20">
        <f t="shared" ref="D42:V42" si="15">IF(D39&lt;=$F$5,D41*$F$4,0)</f>
        <v>3039829.6526724924</v>
      </c>
      <c r="E42" s="20">
        <f t="shared" si="15"/>
        <v>2906970.894755919</v>
      </c>
      <c r="F42" s="20">
        <f t="shared" si="15"/>
        <v>2764054.7959030936</v>
      </c>
      <c r="G42" s="20">
        <f t="shared" si="15"/>
        <v>2610468.454849388</v>
      </c>
      <c r="H42" s="20">
        <f t="shared" si="15"/>
        <v>2445562.327173972</v>
      </c>
      <c r="I42" s="20">
        <f t="shared" si="15"/>
        <v>2268648.0325061851</v>
      </c>
      <c r="J42" s="20">
        <f t="shared" si="15"/>
        <v>2078996.0303117349</v>
      </c>
      <c r="K42" s="20">
        <f t="shared" si="15"/>
        <v>1875833.1563767861</v>
      </c>
      <c r="L42" s="20">
        <f t="shared" si="15"/>
        <v>1658340.0116351328</v>
      </c>
      <c r="M42" s="20">
        <f t="shared" si="15"/>
        <v>1425648.1944824446</v>
      </c>
      <c r="N42" s="20">
        <f t="shared" si="15"/>
        <v>1176837.3671902816</v>
      </c>
      <c r="O42" s="20">
        <f t="shared" si="15"/>
        <v>910932.14646940853</v>
      </c>
      <c r="P42" s="20">
        <f t="shared" si="15"/>
        <v>626898.80763498053</v>
      </c>
      <c r="Q42" s="20">
        <f t="shared" si="15"/>
        <v>323641.79119341221</v>
      </c>
      <c r="R42" s="20">
        <f>IF(R39&lt;=$F$5,R41*$F$4,0)</f>
        <v>0</v>
      </c>
      <c r="S42" s="20">
        <f t="shared" si="15"/>
        <v>0</v>
      </c>
      <c r="T42" s="20">
        <f t="shared" si="15"/>
        <v>0</v>
      </c>
      <c r="U42" s="20">
        <f t="shared" si="15"/>
        <v>0</v>
      </c>
      <c r="V42" s="20">
        <f t="shared" si="15"/>
        <v>0</v>
      </c>
      <c r="W42" s="14"/>
      <c r="X42" s="14"/>
      <c r="Y42" s="14"/>
      <c r="Z42" s="14"/>
      <c r="AA42" s="14"/>
      <c r="AB42" s="14"/>
      <c r="AC42" s="14"/>
      <c r="AD42" s="14"/>
      <c r="AE42" s="14"/>
      <c r="AF42" s="14"/>
      <c r="AG42" s="14"/>
      <c r="AH42" s="14"/>
      <c r="AI42" s="14"/>
      <c r="AJ42" s="14"/>
      <c r="AK42" s="14"/>
      <c r="AL42" s="14"/>
      <c r="AM42" s="14"/>
      <c r="AN42" s="14"/>
      <c r="AO42" s="14"/>
      <c r="AP42" s="14"/>
      <c r="AQ42" s="14"/>
    </row>
    <row r="43" spans="1:43" x14ac:dyDescent="0.2">
      <c r="A43" s="14" t="s">
        <v>36</v>
      </c>
      <c r="B43" s="14"/>
      <c r="C43" s="20">
        <f>C34-C42</f>
        <v>2056329.0649678949</v>
      </c>
      <c r="D43" s="20">
        <f>D34-D42</f>
        <v>2214312.6319428911</v>
      </c>
      <c r="E43" s="20">
        <f t="shared" ref="E43:R43" si="16">E34-E42</f>
        <v>2381934.9808804248</v>
      </c>
      <c r="F43" s="20">
        <f t="shared" si="16"/>
        <v>2559772.3508950961</v>
      </c>
      <c r="G43" s="20">
        <f t="shared" si="16"/>
        <v>2748435.4612569255</v>
      </c>
      <c r="H43" s="20">
        <f t="shared" si="16"/>
        <v>2948571.5777964504</v>
      </c>
      <c r="I43" s="20">
        <f t="shared" si="16"/>
        <v>3160866.7032408346</v>
      </c>
      <c r="J43" s="20">
        <f t="shared" si="16"/>
        <v>3386047.8989158119</v>
      </c>
      <c r="K43" s="20">
        <f t="shared" si="16"/>
        <v>3624885.7456942224</v>
      </c>
      <c r="L43" s="20">
        <f t="shared" si="16"/>
        <v>3878196.9525448056</v>
      </c>
      <c r="M43" s="20">
        <f t="shared" si="16"/>
        <v>4146847.1215360463</v>
      </c>
      <c r="N43" s="20">
        <f t="shared" si="16"/>
        <v>4431753.678681219</v>
      </c>
      <c r="O43" s="20">
        <f t="shared" si="16"/>
        <v>4733888.9805738004</v>
      </c>
      <c r="P43" s="20">
        <f t="shared" si="16"/>
        <v>5054283.6073594717</v>
      </c>
      <c r="Q43" s="20">
        <f t="shared" si="16"/>
        <v>5394029.8532235818</v>
      </c>
      <c r="R43" s="20">
        <f t="shared" si="16"/>
        <v>0</v>
      </c>
      <c r="S43" s="20">
        <v>0</v>
      </c>
      <c r="T43" s="20">
        <v>0</v>
      </c>
      <c r="U43" s="20">
        <v>0</v>
      </c>
      <c r="V43" s="20">
        <v>0</v>
      </c>
      <c r="W43" s="14"/>
      <c r="X43" s="14"/>
      <c r="Y43" s="14"/>
      <c r="Z43" s="14"/>
      <c r="AA43" s="14"/>
      <c r="AB43" s="14"/>
      <c r="AC43" s="14"/>
      <c r="AD43" s="14"/>
      <c r="AE43" s="14"/>
      <c r="AF43" s="14"/>
      <c r="AG43" s="14"/>
      <c r="AH43" s="14"/>
      <c r="AI43" s="14"/>
      <c r="AJ43" s="14"/>
      <c r="AK43" s="14"/>
      <c r="AL43" s="14"/>
      <c r="AM43" s="14"/>
      <c r="AN43" s="14"/>
      <c r="AO43" s="14"/>
      <c r="AP43" s="14"/>
      <c r="AQ43" s="14"/>
    </row>
    <row r="44" spans="1:43" x14ac:dyDescent="0.2">
      <c r="A44" s="14" t="s">
        <v>37</v>
      </c>
      <c r="B44" s="14"/>
      <c r="C44" s="20">
        <f>C41-C43</f>
        <v>50663827.544541545</v>
      </c>
      <c r="D44" s="20">
        <f>D41-D43</f>
        <v>48449514.912598655</v>
      </c>
      <c r="E44" s="20">
        <f t="shared" ref="E44:Q44" si="17">E41-E43</f>
        <v>46067579.93171823</v>
      </c>
      <c r="F44" s="20">
        <f t="shared" si="17"/>
        <v>43507807.580823131</v>
      </c>
      <c r="G44" s="20">
        <f t="shared" si="17"/>
        <v>40759372.119566202</v>
      </c>
      <c r="H44" s="20">
        <f t="shared" si="17"/>
        <v>37810800.54176975</v>
      </c>
      <c r="I44" s="20">
        <f t="shared" si="17"/>
        <v>34649933.838528916</v>
      </c>
      <c r="J44" s="20">
        <f t="shared" si="17"/>
        <v>31263885.939613104</v>
      </c>
      <c r="K44" s="20">
        <f t="shared" si="17"/>
        <v>27639000.19391888</v>
      </c>
      <c r="L44" s="20">
        <f t="shared" si="17"/>
        <v>23760803.241374075</v>
      </c>
      <c r="M44" s="20">
        <f t="shared" si="17"/>
        <v>19613956.119838029</v>
      </c>
      <c r="N44" s="20">
        <f t="shared" si="17"/>
        <v>15182202.44115681</v>
      </c>
      <c r="O44" s="20">
        <f t="shared" si="17"/>
        <v>10448313.460583009</v>
      </c>
      <c r="P44" s="20">
        <f t="shared" si="17"/>
        <v>5394029.8532235371</v>
      </c>
      <c r="Q44" s="20">
        <f t="shared" si="17"/>
        <v>-4.4703483581542969E-8</v>
      </c>
      <c r="R44" s="20">
        <f>R41-R43</f>
        <v>-4.4703483581542969E-8</v>
      </c>
      <c r="S44" s="20">
        <f t="shared" ref="S44:V44" si="18">S41-S43</f>
        <v>-4.4703483581542969E-8</v>
      </c>
      <c r="T44" s="20">
        <f t="shared" si="18"/>
        <v>-4.4703483581542969E-8</v>
      </c>
      <c r="U44" s="20">
        <f t="shared" si="18"/>
        <v>-4.4703483581542969E-8</v>
      </c>
      <c r="V44" s="20">
        <f t="shared" si="18"/>
        <v>-4.4703483581542969E-8</v>
      </c>
      <c r="W44" s="14"/>
      <c r="X44" s="14"/>
      <c r="Y44" s="14"/>
      <c r="Z44" s="14"/>
      <c r="AA44" s="14"/>
      <c r="AB44" s="14"/>
      <c r="AC44" s="14"/>
      <c r="AD44" s="14"/>
      <c r="AE44" s="14"/>
      <c r="AF44" s="14"/>
      <c r="AG44" s="14"/>
      <c r="AH44" s="14"/>
      <c r="AI44" s="14"/>
      <c r="AJ44" s="14"/>
      <c r="AK44" s="14"/>
      <c r="AL44" s="14"/>
      <c r="AM44" s="14"/>
      <c r="AN44" s="14"/>
      <c r="AO44" s="14"/>
      <c r="AP44" s="14"/>
      <c r="AQ44" s="14"/>
    </row>
    <row r="45" spans="1:43" x14ac:dyDescent="0.2">
      <c r="A45" s="14" t="s">
        <v>39</v>
      </c>
      <c r="B45" s="14"/>
      <c r="C45" s="20">
        <f>C42+C43</f>
        <v>5219538.461538461</v>
      </c>
      <c r="D45" s="20">
        <f>D42+D43</f>
        <v>5254142.2846153835</v>
      </c>
      <c r="E45" s="20">
        <f t="shared" ref="E45:Q45" si="19">E42+E43</f>
        <v>5288905.8756363438</v>
      </c>
      <c r="F45" s="20">
        <f t="shared" si="19"/>
        <v>5323827.1467981897</v>
      </c>
      <c r="G45" s="20">
        <f t="shared" si="19"/>
        <v>5358903.9161063135</v>
      </c>
      <c r="H45" s="20">
        <f t="shared" si="19"/>
        <v>5394133.9049704224</v>
      </c>
      <c r="I45" s="20">
        <f t="shared" si="19"/>
        <v>5429514.7357470198</v>
      </c>
      <c r="J45" s="20">
        <f t="shared" si="19"/>
        <v>5465043.9292275468</v>
      </c>
      <c r="K45" s="20">
        <f t="shared" si="19"/>
        <v>5500718.9020710085</v>
      </c>
      <c r="L45" s="20">
        <f t="shared" si="19"/>
        <v>5536536.9641799387</v>
      </c>
      <c r="M45" s="20">
        <f t="shared" si="19"/>
        <v>5572495.3160184911</v>
      </c>
      <c r="N45" s="20">
        <f t="shared" si="19"/>
        <v>5608591.0458715009</v>
      </c>
      <c r="O45" s="20">
        <f t="shared" si="19"/>
        <v>5644821.127043209</v>
      </c>
      <c r="P45" s="20">
        <f t="shared" si="19"/>
        <v>5681182.4149944521</v>
      </c>
      <c r="Q45" s="20">
        <f t="shared" si="19"/>
        <v>5717671.6444169944</v>
      </c>
      <c r="R45" s="20">
        <f>R42+R43</f>
        <v>0</v>
      </c>
      <c r="S45" s="20">
        <f t="shared" ref="S45:V45" si="20">S42+S43</f>
        <v>0</v>
      </c>
      <c r="T45" s="20">
        <f t="shared" si="20"/>
        <v>0</v>
      </c>
      <c r="U45" s="20">
        <f t="shared" si="20"/>
        <v>0</v>
      </c>
      <c r="V45" s="20">
        <f t="shared" si="20"/>
        <v>0</v>
      </c>
      <c r="W45" s="14"/>
      <c r="X45" s="14"/>
      <c r="Y45" s="14"/>
      <c r="Z45" s="14"/>
      <c r="AA45" s="14"/>
      <c r="AB45" s="14"/>
      <c r="AC45" s="14"/>
      <c r="AD45" s="14"/>
      <c r="AE45" s="14"/>
      <c r="AF45" s="14"/>
      <c r="AG45" s="14"/>
      <c r="AH45" s="14"/>
      <c r="AI45" s="14"/>
      <c r="AJ45" s="14"/>
      <c r="AK45" s="14"/>
      <c r="AL45" s="14"/>
      <c r="AM45" s="14"/>
      <c r="AN45" s="14"/>
      <c r="AO45" s="14"/>
      <c r="AP45" s="14"/>
      <c r="AQ45" s="14"/>
    </row>
    <row r="46" spans="1:43" x14ac:dyDescent="0.2">
      <c r="A46" s="14" t="s">
        <v>38</v>
      </c>
      <c r="B46" s="14"/>
      <c r="C46" s="33">
        <f>C27/C45</f>
        <v>1.3</v>
      </c>
      <c r="D46" s="33">
        <f>D27/D45</f>
        <v>1.3</v>
      </c>
      <c r="E46" s="33">
        <f t="shared" ref="E46:Q46" si="21">E27/E45</f>
        <v>1.3</v>
      </c>
      <c r="F46" s="33">
        <f t="shared" si="21"/>
        <v>1.3</v>
      </c>
      <c r="G46" s="33">
        <f t="shared" si="21"/>
        <v>1.3</v>
      </c>
      <c r="H46" s="33">
        <f t="shared" si="21"/>
        <v>1.3</v>
      </c>
      <c r="I46" s="33">
        <f t="shared" si="21"/>
        <v>1.3</v>
      </c>
      <c r="J46" s="33">
        <f t="shared" si="21"/>
        <v>1.3</v>
      </c>
      <c r="K46" s="33">
        <f t="shared" si="21"/>
        <v>1.3</v>
      </c>
      <c r="L46" s="33">
        <f t="shared" si="21"/>
        <v>1.3</v>
      </c>
      <c r="M46" s="33">
        <f t="shared" si="21"/>
        <v>1.3</v>
      </c>
      <c r="N46" s="33">
        <f t="shared" si="21"/>
        <v>1.3</v>
      </c>
      <c r="O46" s="33">
        <f t="shared" si="21"/>
        <v>1.3</v>
      </c>
      <c r="P46" s="33">
        <f t="shared" si="21"/>
        <v>1.3</v>
      </c>
      <c r="Q46" s="33">
        <f t="shared" si="21"/>
        <v>1.3</v>
      </c>
      <c r="R46" s="34">
        <v>0</v>
      </c>
      <c r="S46" s="34">
        <v>0</v>
      </c>
      <c r="T46" s="34">
        <v>0</v>
      </c>
      <c r="U46" s="34">
        <v>0</v>
      </c>
      <c r="V46" s="34">
        <v>0</v>
      </c>
      <c r="W46" s="14"/>
      <c r="X46" s="14"/>
      <c r="Y46" s="14"/>
      <c r="Z46" s="14"/>
      <c r="AA46" s="14"/>
      <c r="AB46" s="14"/>
      <c r="AC46" s="14"/>
      <c r="AD46" s="14"/>
      <c r="AE46" s="14"/>
      <c r="AF46" s="14"/>
      <c r="AG46" s="14"/>
      <c r="AH46" s="14"/>
      <c r="AI46" s="14"/>
      <c r="AJ46" s="14"/>
      <c r="AK46" s="14"/>
      <c r="AL46" s="14"/>
      <c r="AM46" s="14"/>
      <c r="AN46" s="14"/>
      <c r="AO46" s="14"/>
      <c r="AP46" s="14"/>
      <c r="AQ46" s="14"/>
    </row>
    <row r="47" spans="1:43" x14ac:dyDescent="0.2">
      <c r="A47" s="16" t="s">
        <v>40</v>
      </c>
      <c r="B47" s="21">
        <f>B27-B40</f>
        <v>-47279843.390490562</v>
      </c>
      <c r="C47" s="21">
        <f>C27-C45</f>
        <v>1565861.538461539</v>
      </c>
      <c r="D47" s="21">
        <f>D27-D45</f>
        <v>1576242.6853846153</v>
      </c>
      <c r="E47" s="21">
        <f t="shared" ref="E47:Q47" si="22">E27-E45</f>
        <v>1586671.7626909036</v>
      </c>
      <c r="F47" s="21">
        <f t="shared" si="22"/>
        <v>1597148.1440394567</v>
      </c>
      <c r="G47" s="21">
        <f t="shared" si="22"/>
        <v>1607671.1748318942</v>
      </c>
      <c r="H47" s="21">
        <f t="shared" si="22"/>
        <v>1618240.1714911275</v>
      </c>
      <c r="I47" s="21">
        <f t="shared" si="22"/>
        <v>1628854.420724106</v>
      </c>
      <c r="J47" s="21">
        <f t="shared" si="22"/>
        <v>1639513.1787682641</v>
      </c>
      <c r="K47" s="21">
        <f t="shared" si="22"/>
        <v>1650215.6706213029</v>
      </c>
      <c r="L47" s="21">
        <f t="shared" si="22"/>
        <v>1660961.0892539816</v>
      </c>
      <c r="M47" s="21">
        <f t="shared" si="22"/>
        <v>1671748.594805548</v>
      </c>
      <c r="N47" s="21">
        <f t="shared" si="22"/>
        <v>1682577.3137614504</v>
      </c>
      <c r="O47" s="21">
        <f t="shared" si="22"/>
        <v>1693446.3381129624</v>
      </c>
      <c r="P47" s="21">
        <f t="shared" si="22"/>
        <v>1704354.7244983362</v>
      </c>
      <c r="Q47" s="21">
        <f t="shared" si="22"/>
        <v>1715301.4933250984</v>
      </c>
      <c r="R47" s="21">
        <f>R27-R45</f>
        <v>7480571.0541168218</v>
      </c>
      <c r="S47" s="21">
        <f>S27-S45</f>
        <v>7528326.3179712193</v>
      </c>
      <c r="T47" s="21">
        <f>T27-T45</f>
        <v>7576234.1897422196</v>
      </c>
      <c r="U47" s="21">
        <f>U27-U45</f>
        <v>7624289.7568018492</v>
      </c>
      <c r="V47" s="21">
        <f>V27-V45</f>
        <v>7672487.9292190745</v>
      </c>
      <c r="W47" s="14"/>
      <c r="X47" s="14"/>
      <c r="Y47" s="14"/>
      <c r="Z47" s="14"/>
      <c r="AA47" s="14"/>
      <c r="AB47" s="14"/>
      <c r="AC47" s="14"/>
      <c r="AD47" s="14"/>
      <c r="AE47" s="14"/>
      <c r="AF47" s="14"/>
      <c r="AG47" s="14"/>
      <c r="AH47" s="14"/>
      <c r="AI47" s="14"/>
      <c r="AJ47" s="14"/>
      <c r="AK47" s="14"/>
      <c r="AL47" s="14"/>
      <c r="AM47" s="14"/>
      <c r="AN47" s="14"/>
      <c r="AO47" s="14"/>
      <c r="AP47" s="14"/>
      <c r="AQ47" s="14"/>
    </row>
    <row r="48" spans="1:43" x14ac:dyDescent="0.2">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row>
    <row r="49" spans="1:43" x14ac:dyDescent="0.2">
      <c r="A49" s="35" t="s">
        <v>41</v>
      </c>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row>
    <row r="50" spans="1:43" x14ac:dyDescent="0.2">
      <c r="A50" s="27" t="s">
        <v>42</v>
      </c>
      <c r="B50" s="28">
        <f>IRR(B47:V47)</f>
        <v>2.0429529547496106E-2</v>
      </c>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row>
    <row r="51" spans="1:43" x14ac:dyDescent="0.2">
      <c r="A51" s="29" t="s">
        <v>43</v>
      </c>
      <c r="B51" s="30">
        <f>NPV(B11,C47:V47)+B47</f>
        <v>-23844390.565515961</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row>
    <row r="52" spans="1:43" x14ac:dyDescent="0.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row>
    <row r="53" spans="1:43" x14ac:dyDescent="0.2">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row>
    <row r="54" spans="1:43" x14ac:dyDescent="0.2">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spans="1:43" x14ac:dyDescent="0.2">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spans="1:43" x14ac:dyDescent="0.2">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row>
    <row r="57" spans="1:43" x14ac:dyDescent="0.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row>
    <row r="58" spans="1:43" x14ac:dyDescent="0.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spans="1:43" x14ac:dyDescent="0.2">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row>
    <row r="60" spans="1:43"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row>
    <row r="61" spans="1:43"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row>
    <row r="62" spans="1:43" x14ac:dyDescent="0.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row>
    <row r="63" spans="1:43" x14ac:dyDescent="0.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row>
    <row r="64" spans="1:43" x14ac:dyDescent="0.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row>
    <row r="65" spans="1:43" x14ac:dyDescent="0.2">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row>
    <row r="66" spans="1:43" x14ac:dyDescent="0.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row>
    <row r="67" spans="1:43" x14ac:dyDescent="0.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row>
    <row r="68" spans="1:43" x14ac:dyDescent="0.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row>
    <row r="69" spans="1:43" x14ac:dyDescent="0.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row>
    <row r="70" spans="1:43" x14ac:dyDescent="0.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row>
    <row r="71" spans="1:43" x14ac:dyDescent="0.2">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row>
    <row r="72" spans="1:43" x14ac:dyDescent="0.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spans="1:43" x14ac:dyDescent="0.2">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row>
    <row r="74" spans="1:43" x14ac:dyDescent="0.2">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row>
    <row r="75" spans="1:43"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spans="1:43" x14ac:dyDescent="0.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spans="1:43" x14ac:dyDescent="0.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row r="78" spans="1:43" x14ac:dyDescent="0.2">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row>
    <row r="79" spans="1:43" x14ac:dyDescent="0.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row>
    <row r="80" spans="1:43" x14ac:dyDescent="0.2">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row>
    <row r="81" spans="1:43" x14ac:dyDescent="0.2">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row>
    <row r="82" spans="1:43"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row>
    <row r="83" spans="1:43" x14ac:dyDescent="0.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row>
    <row r="84" spans="1:43" x14ac:dyDescent="0.2">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row>
    <row r="85" spans="1:43" x14ac:dyDescent="0.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x14ac:dyDescent="0.2">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row>
    <row r="87" spans="1:43"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row>
    <row r="88" spans="1:43" x14ac:dyDescent="0.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row>
    <row r="89" spans="1:43"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spans="1:43"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row>
    <row r="91" spans="1:43"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row>
    <row r="92" spans="1:43" x14ac:dyDescent="0.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row>
    <row r="93" spans="1:43" x14ac:dyDescent="0.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row>
    <row r="94" spans="1:43"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row>
    <row r="95" spans="1:43"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row>
    <row r="96" spans="1:43"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row>
    <row r="97" spans="1:43"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row>
    <row r="99" spans="1:43"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row>
    <row r="100" spans="1:43"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row>
    <row r="101" spans="1:43"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spans="1:43"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row>
    <row r="103" spans="1:43"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row>
    <row r="104" spans="1:43"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row>
    <row r="105" spans="1:43"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row>
    <row r="106" spans="1:43"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row>
    <row r="107" spans="1:43"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row>
    <row r="108" spans="1:43"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row>
    <row r="109" spans="1:43"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row>
    <row r="110" spans="1:43"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row>
    <row r="111" spans="1:43"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row>
    <row r="112" spans="1:43"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row>
    <row r="113" spans="1:43"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row>
    <row r="114" spans="1:43"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row>
    <row r="115" spans="1:43"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row>
    <row r="116" spans="1:43"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row>
    <row r="117" spans="1:43"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row>
    <row r="118" spans="1:43"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row>
    <row r="119" spans="1:43"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row>
    <row r="120" spans="1:43"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row>
    <row r="121" spans="1:43"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row>
    <row r="122" spans="1:43"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row>
    <row r="123" spans="1:43"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row>
    <row r="124" spans="1:43"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row>
    <row r="125" spans="1:43"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row>
    <row r="126" spans="1:43"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row>
    <row r="127" spans="1:43"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row>
    <row r="128" spans="1:43"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row>
    <row r="129" spans="1:43"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row>
    <row r="130" spans="1:43"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row>
    <row r="131" spans="1:43"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row>
    <row r="132" spans="1:43"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row>
    <row r="133" spans="1:43"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row>
    <row r="134" spans="1:43"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row>
    <row r="135" spans="1:43"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row>
    <row r="136" spans="1:43"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row>
    <row r="137" spans="1:43"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row>
    <row r="138" spans="1:43"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row>
    <row r="139" spans="1:43"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row>
    <row r="140" spans="1:43"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row>
    <row r="141" spans="1:43"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row>
    <row r="142" spans="1:43"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row>
    <row r="143" spans="1:43"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row>
    <row r="144" spans="1:43"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row>
    <row r="145" spans="1:43"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row>
    <row r="146" spans="1:43" x14ac:dyDescent="0.2">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row>
    <row r="147" spans="1:43" x14ac:dyDescent="0.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row>
    <row r="148" spans="1:43" x14ac:dyDescent="0.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row>
    <row r="149" spans="1:43" x14ac:dyDescent="0.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A606-AF18-4242-B6BB-B075E8AA1253}">
  <dimension ref="A1:AQ154"/>
  <sheetViews>
    <sheetView zoomScale="93" workbookViewId="0">
      <pane xSplit="2" ySplit="12" topLeftCell="C41" activePane="bottomRight" state="frozen"/>
      <selection pane="topRight" activeCell="C1" sqref="C1"/>
      <selection pane="bottomLeft" activeCell="A13" sqref="A13"/>
      <selection pane="bottomRight" activeCell="C42" sqref="C42"/>
    </sheetView>
  </sheetViews>
  <sheetFormatPr baseColWidth="10" defaultRowHeight="16" x14ac:dyDescent="0.2"/>
  <cols>
    <col min="1" max="1" width="24.33203125" customWidth="1"/>
    <col min="2" max="2" width="17" customWidth="1"/>
    <col min="3" max="3" width="17.1640625" bestFit="1" customWidth="1"/>
    <col min="4" max="4" width="15.1640625" customWidth="1"/>
    <col min="5" max="5" width="16" customWidth="1"/>
    <col min="6" max="6" width="16.6640625" customWidth="1"/>
    <col min="7" max="7" width="15.5" customWidth="1"/>
    <col min="8" max="8" width="14.33203125" customWidth="1"/>
    <col min="9" max="9" width="15.5" customWidth="1"/>
    <col min="10" max="10" width="15.33203125" customWidth="1"/>
    <col min="11" max="11" width="16.5" customWidth="1"/>
    <col min="12" max="12" width="15" customWidth="1"/>
    <col min="13" max="13" width="16" customWidth="1"/>
    <col min="14" max="14" width="16.6640625" customWidth="1"/>
    <col min="15" max="15" width="16.33203125" customWidth="1"/>
    <col min="16" max="16" width="15" customWidth="1"/>
    <col min="17" max="17" width="16" customWidth="1"/>
    <col min="18" max="18" width="18.6640625" customWidth="1"/>
    <col min="19" max="19" width="15.6640625" customWidth="1"/>
    <col min="20" max="21" width="15.83203125" customWidth="1"/>
    <col min="22" max="22" width="17.6640625" customWidth="1"/>
  </cols>
  <sheetData>
    <row r="1" spans="1:43" ht="34" x14ac:dyDescent="0.2">
      <c r="A1" s="1" t="s">
        <v>0</v>
      </c>
      <c r="E1" s="12" t="s">
        <v>11</v>
      </c>
    </row>
    <row r="2" spans="1:43" x14ac:dyDescent="0.2">
      <c r="A2" s="2" t="s">
        <v>1</v>
      </c>
      <c r="B2" s="3">
        <v>100</v>
      </c>
      <c r="C2" s="48"/>
      <c r="E2" s="2" t="s">
        <v>12</v>
      </c>
      <c r="F2" s="39">
        <v>1.3</v>
      </c>
    </row>
    <row r="3" spans="1:43" x14ac:dyDescent="0.2">
      <c r="A3" s="4" t="s">
        <v>2</v>
      </c>
      <c r="B3" s="5">
        <v>0.25</v>
      </c>
      <c r="E3" s="4" t="s">
        <v>13</v>
      </c>
      <c r="F3" s="5" t="s">
        <v>49</v>
      </c>
    </row>
    <row r="4" spans="1:43" x14ac:dyDescent="0.2">
      <c r="A4" s="4" t="s">
        <v>3</v>
      </c>
      <c r="B4" s="6">
        <v>5.0000000000000001E-3</v>
      </c>
      <c r="E4" s="4" t="s">
        <v>14</v>
      </c>
      <c r="F4" s="5">
        <v>0.06</v>
      </c>
    </row>
    <row r="5" spans="1:43" x14ac:dyDescent="0.2">
      <c r="A5" s="4" t="s">
        <v>4</v>
      </c>
      <c r="B5" s="7">
        <v>40</v>
      </c>
      <c r="C5" s="19"/>
      <c r="E5" s="9" t="s">
        <v>15</v>
      </c>
      <c r="F5" s="11">
        <v>15</v>
      </c>
    </row>
    <row r="6" spans="1:43" x14ac:dyDescent="0.2">
      <c r="A6" s="4" t="s">
        <v>5</v>
      </c>
      <c r="B6" s="5">
        <v>1.4999999999999999E-2</v>
      </c>
    </row>
    <row r="7" spans="1:43" x14ac:dyDescent="0.2">
      <c r="A7" s="4" t="s">
        <v>6</v>
      </c>
      <c r="B7" s="8">
        <v>15000</v>
      </c>
    </row>
    <row r="8" spans="1:43" x14ac:dyDescent="0.2">
      <c r="A8" s="4" t="s">
        <v>7</v>
      </c>
      <c r="B8" s="5">
        <v>0.02</v>
      </c>
    </row>
    <row r="9" spans="1:43" x14ac:dyDescent="0.2">
      <c r="A9" s="4" t="s">
        <v>8</v>
      </c>
      <c r="B9" s="8">
        <v>1000000</v>
      </c>
    </row>
    <row r="10" spans="1:43" x14ac:dyDescent="0.2">
      <c r="A10" s="4" t="s">
        <v>9</v>
      </c>
      <c r="B10" s="5">
        <v>0.21</v>
      </c>
    </row>
    <row r="11" spans="1:43" x14ac:dyDescent="0.2">
      <c r="A11" s="9" t="s">
        <v>10</v>
      </c>
      <c r="B11" s="10">
        <v>0.08</v>
      </c>
    </row>
    <row r="12" spans="1:43"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row>
    <row r="13" spans="1:43" ht="19" x14ac:dyDescent="0.25">
      <c r="A13" s="15" t="s">
        <v>16</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row>
    <row r="14" spans="1:43" x14ac:dyDescent="0.2">
      <c r="A14" s="16" t="s">
        <v>17</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row>
    <row r="15" spans="1:43" x14ac:dyDescent="0.2">
      <c r="A15" s="17" t="s">
        <v>18</v>
      </c>
      <c r="B15" s="22">
        <v>0</v>
      </c>
      <c r="C15" s="22">
        <f>B15+1</f>
        <v>1</v>
      </c>
      <c r="D15" s="22">
        <f t="shared" ref="D15:U15" si="0">C15+1</f>
        <v>2</v>
      </c>
      <c r="E15" s="22">
        <f t="shared" si="0"/>
        <v>3</v>
      </c>
      <c r="F15" s="23">
        <f t="shared" si="0"/>
        <v>4</v>
      </c>
      <c r="G15" s="23">
        <f t="shared" si="0"/>
        <v>5</v>
      </c>
      <c r="H15" s="22">
        <f t="shared" si="0"/>
        <v>6</v>
      </c>
      <c r="I15" s="22">
        <f t="shared" si="0"/>
        <v>7</v>
      </c>
      <c r="J15" s="22">
        <f t="shared" si="0"/>
        <v>8</v>
      </c>
      <c r="K15" s="22">
        <f t="shared" si="0"/>
        <v>9</v>
      </c>
      <c r="L15" s="22">
        <f t="shared" si="0"/>
        <v>10</v>
      </c>
      <c r="M15" s="22">
        <f t="shared" si="0"/>
        <v>11</v>
      </c>
      <c r="N15" s="22">
        <f t="shared" si="0"/>
        <v>12</v>
      </c>
      <c r="O15" s="22">
        <f t="shared" si="0"/>
        <v>13</v>
      </c>
      <c r="P15" s="22">
        <f t="shared" si="0"/>
        <v>14</v>
      </c>
      <c r="Q15" s="22">
        <f t="shared" si="0"/>
        <v>15</v>
      </c>
      <c r="R15" s="22">
        <f t="shared" si="0"/>
        <v>16</v>
      </c>
      <c r="S15" s="22">
        <f t="shared" si="0"/>
        <v>17</v>
      </c>
      <c r="T15" s="22">
        <f t="shared" si="0"/>
        <v>18</v>
      </c>
      <c r="U15" s="22">
        <f t="shared" si="0"/>
        <v>19</v>
      </c>
      <c r="V15" s="22">
        <f>U15+1</f>
        <v>20</v>
      </c>
      <c r="W15" s="14"/>
      <c r="X15" s="14"/>
      <c r="Y15" s="14"/>
      <c r="Z15" s="14"/>
      <c r="AA15" s="14"/>
      <c r="AB15" s="14"/>
      <c r="AC15" s="14"/>
      <c r="AD15" s="14"/>
      <c r="AE15" s="14"/>
      <c r="AF15" s="14"/>
      <c r="AG15" s="14"/>
      <c r="AH15" s="14"/>
      <c r="AI15" s="14"/>
      <c r="AJ15" s="14"/>
      <c r="AK15" s="14"/>
      <c r="AL15" s="14"/>
      <c r="AM15" s="14"/>
      <c r="AN15" s="14"/>
      <c r="AO15" s="14"/>
      <c r="AP15" s="14"/>
      <c r="AQ15" s="14"/>
    </row>
    <row r="16" spans="1:43" x14ac:dyDescent="0.2">
      <c r="A16" s="14" t="s">
        <v>19</v>
      </c>
      <c r="B16" s="14"/>
      <c r="C16" s="13">
        <v>1</v>
      </c>
      <c r="D16" s="24">
        <f>C16*(1-$B$4)</f>
        <v>0.995</v>
      </c>
      <c r="E16" s="24">
        <f t="shared" ref="E16:V16" si="1">D16*(1-$B$4)</f>
        <v>0.99002500000000004</v>
      </c>
      <c r="F16" s="24">
        <f t="shared" si="1"/>
        <v>0.98507487500000002</v>
      </c>
      <c r="G16" s="24">
        <f t="shared" si="1"/>
        <v>0.98014950062500006</v>
      </c>
      <c r="H16" s="24">
        <f t="shared" si="1"/>
        <v>0.97524875312187509</v>
      </c>
      <c r="I16" s="24">
        <f t="shared" si="1"/>
        <v>0.97037250935626573</v>
      </c>
      <c r="J16" s="24">
        <f t="shared" si="1"/>
        <v>0.96552064680948435</v>
      </c>
      <c r="K16" s="24">
        <f t="shared" si="1"/>
        <v>0.96069304357543694</v>
      </c>
      <c r="L16" s="24">
        <f t="shared" si="1"/>
        <v>0.95588957835755972</v>
      </c>
      <c r="M16" s="24">
        <f t="shared" si="1"/>
        <v>0.95111013046577186</v>
      </c>
      <c r="N16" s="24">
        <f t="shared" si="1"/>
        <v>0.94635457981344295</v>
      </c>
      <c r="O16" s="24">
        <f t="shared" si="1"/>
        <v>0.94162280691437572</v>
      </c>
      <c r="P16" s="24">
        <f t="shared" si="1"/>
        <v>0.93691469287980389</v>
      </c>
      <c r="Q16" s="24">
        <f t="shared" si="1"/>
        <v>0.9322301194154049</v>
      </c>
      <c r="R16" s="24">
        <f t="shared" si="1"/>
        <v>0.92756896881832784</v>
      </c>
      <c r="S16" s="24">
        <f t="shared" si="1"/>
        <v>0.92293112397423616</v>
      </c>
      <c r="T16" s="24">
        <f t="shared" si="1"/>
        <v>0.91831646835436498</v>
      </c>
      <c r="U16" s="24">
        <f t="shared" si="1"/>
        <v>0.91372488601259316</v>
      </c>
      <c r="V16" s="24">
        <f t="shared" si="1"/>
        <v>0.90915626158253016</v>
      </c>
      <c r="W16" s="14"/>
      <c r="X16" s="14"/>
      <c r="Y16" s="14"/>
      <c r="Z16" s="14"/>
      <c r="AA16" s="14"/>
      <c r="AB16" s="14"/>
      <c r="AC16" s="14"/>
      <c r="AD16" s="14"/>
      <c r="AE16" s="14"/>
      <c r="AF16" s="14"/>
      <c r="AG16" s="14"/>
      <c r="AH16" s="14"/>
      <c r="AI16" s="14"/>
      <c r="AJ16" s="14"/>
      <c r="AK16" s="14"/>
      <c r="AL16" s="14"/>
      <c r="AM16" s="14"/>
      <c r="AN16" s="14"/>
      <c r="AO16" s="14"/>
      <c r="AP16" s="14"/>
      <c r="AQ16" s="14"/>
    </row>
    <row r="17" spans="1:43" x14ac:dyDescent="0.2">
      <c r="A17" s="14" t="s">
        <v>20</v>
      </c>
      <c r="B17" s="14"/>
      <c r="C17" s="20">
        <f>$B$2*$B$3*8760*C16</f>
        <v>219000</v>
      </c>
      <c r="D17" s="20">
        <f>$B$2*$B$3*8760*D16</f>
        <v>217905</v>
      </c>
      <c r="E17" s="20">
        <f t="shared" ref="E17:V17" si="2">$B$2*$B$3*8760*E16</f>
        <v>216815.47500000001</v>
      </c>
      <c r="F17" s="20">
        <f t="shared" si="2"/>
        <v>215731.39762500001</v>
      </c>
      <c r="G17" s="20">
        <f t="shared" si="2"/>
        <v>214652.74063687501</v>
      </c>
      <c r="H17" s="20">
        <f t="shared" si="2"/>
        <v>213579.47693369063</v>
      </c>
      <c r="I17" s="20">
        <f t="shared" si="2"/>
        <v>212511.57954902219</v>
      </c>
      <c r="J17" s="20">
        <f t="shared" si="2"/>
        <v>211449.02165127709</v>
      </c>
      <c r="K17" s="20">
        <f t="shared" si="2"/>
        <v>210391.77654302068</v>
      </c>
      <c r="L17" s="20">
        <f t="shared" si="2"/>
        <v>209339.81766030559</v>
      </c>
      <c r="M17" s="20">
        <f t="shared" si="2"/>
        <v>208293.11857200405</v>
      </c>
      <c r="N17" s="20">
        <f t="shared" si="2"/>
        <v>207251.65297914401</v>
      </c>
      <c r="O17" s="20">
        <f t="shared" si="2"/>
        <v>206215.39471424828</v>
      </c>
      <c r="P17" s="20">
        <f t="shared" si="2"/>
        <v>205184.31774067704</v>
      </c>
      <c r="Q17" s="20">
        <f t="shared" si="2"/>
        <v>204158.39615197366</v>
      </c>
      <c r="R17" s="20">
        <f t="shared" si="2"/>
        <v>203137.60417121381</v>
      </c>
      <c r="S17" s="20">
        <f t="shared" si="2"/>
        <v>202121.91615035772</v>
      </c>
      <c r="T17" s="20">
        <f t="shared" si="2"/>
        <v>201111.30656960592</v>
      </c>
      <c r="U17" s="20">
        <f t="shared" si="2"/>
        <v>200105.75003675791</v>
      </c>
      <c r="V17" s="20">
        <f t="shared" si="2"/>
        <v>199105.22128657412</v>
      </c>
      <c r="W17" s="14"/>
      <c r="X17" s="14"/>
      <c r="Y17" s="14"/>
      <c r="Z17" s="14"/>
      <c r="AA17" s="14"/>
      <c r="AB17" s="14"/>
      <c r="AC17" s="14"/>
      <c r="AD17" s="14"/>
      <c r="AE17" s="14"/>
      <c r="AF17" s="14"/>
      <c r="AG17" s="14"/>
      <c r="AH17" s="14"/>
      <c r="AI17" s="14"/>
      <c r="AJ17" s="14"/>
      <c r="AK17" s="14"/>
      <c r="AL17" s="14"/>
      <c r="AM17" s="14"/>
      <c r="AN17" s="14"/>
      <c r="AO17" s="14"/>
      <c r="AP17" s="14"/>
      <c r="AQ17" s="14"/>
    </row>
    <row r="18" spans="1:43" x14ac:dyDescent="0.2">
      <c r="A18" s="14" t="s">
        <v>4</v>
      </c>
      <c r="B18" s="14"/>
      <c r="C18" s="14">
        <v>40</v>
      </c>
      <c r="D18" s="14">
        <f>C18*(1+$B$6)</f>
        <v>40.599999999999994</v>
      </c>
      <c r="E18" s="14">
        <f t="shared" ref="E18:V18" si="3">D18*(1+$B$6)</f>
        <v>41.208999999999989</v>
      </c>
      <c r="F18" s="14">
        <f t="shared" si="3"/>
        <v>41.827134999999984</v>
      </c>
      <c r="G18" s="14">
        <f t="shared" si="3"/>
        <v>42.454542024999981</v>
      </c>
      <c r="H18" s="14">
        <f t="shared" si="3"/>
        <v>43.091360155374979</v>
      </c>
      <c r="I18" s="14">
        <f t="shared" si="3"/>
        <v>43.737730557705596</v>
      </c>
      <c r="J18" s="14">
        <f t="shared" si="3"/>
        <v>44.393796516071177</v>
      </c>
      <c r="K18" s="14">
        <f t="shared" si="3"/>
        <v>45.059703463812241</v>
      </c>
      <c r="L18" s="14">
        <f t="shared" si="3"/>
        <v>45.735599015769424</v>
      </c>
      <c r="M18" s="14">
        <f t="shared" si="3"/>
        <v>46.421633001005958</v>
      </c>
      <c r="N18" s="14">
        <f t="shared" si="3"/>
        <v>47.117957496021042</v>
      </c>
      <c r="O18" s="14">
        <f t="shared" si="3"/>
        <v>47.824726858461354</v>
      </c>
      <c r="P18" s="14">
        <f t="shared" si="3"/>
        <v>48.542097761338269</v>
      </c>
      <c r="Q18" s="14">
        <f t="shared" si="3"/>
        <v>49.270229227758335</v>
      </c>
      <c r="R18" s="14">
        <f t="shared" si="3"/>
        <v>50.009282666174705</v>
      </c>
      <c r="S18" s="14">
        <f t="shared" si="3"/>
        <v>50.759421906167319</v>
      </c>
      <c r="T18" s="14">
        <f t="shared" si="3"/>
        <v>51.520813234759821</v>
      </c>
      <c r="U18" s="14">
        <f t="shared" si="3"/>
        <v>52.293625433281214</v>
      </c>
      <c r="V18" s="14">
        <f t="shared" si="3"/>
        <v>53.078029814780429</v>
      </c>
      <c r="W18" s="14"/>
      <c r="X18" s="14"/>
      <c r="Y18" s="14"/>
      <c r="Z18" s="14"/>
      <c r="AA18" s="14"/>
      <c r="AB18" s="14"/>
      <c r="AC18" s="14"/>
      <c r="AD18" s="14"/>
      <c r="AE18" s="14"/>
      <c r="AF18" s="14"/>
      <c r="AG18" s="14"/>
      <c r="AH18" s="14"/>
      <c r="AI18" s="14"/>
      <c r="AJ18" s="14"/>
      <c r="AK18" s="14"/>
      <c r="AL18" s="14"/>
      <c r="AM18" s="14"/>
      <c r="AN18" s="14"/>
      <c r="AO18" s="14"/>
      <c r="AP18" s="14"/>
      <c r="AQ18" s="14"/>
    </row>
    <row r="19" spans="1:43" x14ac:dyDescent="0.2">
      <c r="A19" s="14" t="s">
        <v>21</v>
      </c>
      <c r="B19" s="14"/>
      <c r="C19" s="18">
        <f>C17*C18</f>
        <v>8760000</v>
      </c>
      <c r="D19" s="18">
        <f>D17*D18</f>
        <v>8846942.9999999981</v>
      </c>
      <c r="E19" s="18">
        <f t="shared" ref="E19:V19" si="4">E17*E18</f>
        <v>8934748.9092749972</v>
      </c>
      <c r="F19" s="18">
        <f t="shared" si="4"/>
        <v>9023426.2921995521</v>
      </c>
      <c r="G19" s="18">
        <f t="shared" si="4"/>
        <v>9112983.7981496304</v>
      </c>
      <c r="H19" s="18">
        <f t="shared" si="4"/>
        <v>9203430.1623462662</v>
      </c>
      <c r="I19" s="18">
        <f t="shared" si="4"/>
        <v>9294774.2067075521</v>
      </c>
      <c r="J19" s="18">
        <f t="shared" si="4"/>
        <v>9387024.8407091238</v>
      </c>
      <c r="K19" s="18">
        <f t="shared" si="4"/>
        <v>9480191.0622531604</v>
      </c>
      <c r="L19" s="18">
        <f t="shared" si="4"/>
        <v>9574281.9585460238</v>
      </c>
      <c r="M19" s="18">
        <f t="shared" si="4"/>
        <v>9669306.7069845907</v>
      </c>
      <c r="N19" s="18">
        <f t="shared" si="4"/>
        <v>9765274.5760514103</v>
      </c>
      <c r="O19" s="18">
        <f t="shared" si="4"/>
        <v>9862194.9262187183</v>
      </c>
      <c r="P19" s="18">
        <f t="shared" si="4"/>
        <v>9960077.2108614389</v>
      </c>
      <c r="Q19" s="18">
        <f t="shared" si="4"/>
        <v>10058930.977179237</v>
      </c>
      <c r="R19" s="18">
        <f t="shared" si="4"/>
        <v>10158765.867127741</v>
      </c>
      <c r="S19" s="18">
        <f t="shared" si="4"/>
        <v>10259591.618358981</v>
      </c>
      <c r="T19" s="18">
        <f t="shared" si="4"/>
        <v>10361418.065171193</v>
      </c>
      <c r="U19" s="18">
        <f t="shared" si="4"/>
        <v>10464255.139468016</v>
      </c>
      <c r="V19" s="18">
        <f t="shared" si="4"/>
        <v>10568112.871727236</v>
      </c>
      <c r="W19" s="14"/>
      <c r="X19" s="14"/>
      <c r="Y19" s="14"/>
      <c r="Z19" s="14"/>
      <c r="AA19" s="14"/>
      <c r="AB19" s="14"/>
      <c r="AC19" s="14"/>
      <c r="AD19" s="14"/>
      <c r="AE19" s="14"/>
      <c r="AF19" s="14"/>
      <c r="AG19" s="14"/>
      <c r="AH19" s="14"/>
      <c r="AI19" s="14"/>
      <c r="AJ19" s="14"/>
      <c r="AK19" s="14"/>
      <c r="AL19" s="14"/>
      <c r="AM19" s="14"/>
      <c r="AN19" s="14"/>
      <c r="AO19" s="14"/>
      <c r="AP19" s="14"/>
      <c r="AQ19" s="14"/>
    </row>
    <row r="20" spans="1:43" x14ac:dyDescent="0.2">
      <c r="A20" s="14" t="s">
        <v>22</v>
      </c>
      <c r="B20" s="14"/>
      <c r="C20" s="18">
        <f>B7*B2</f>
        <v>1500000</v>
      </c>
      <c r="D20" s="18">
        <f>C20*(1+$B$8)</f>
        <v>1530000</v>
      </c>
      <c r="E20" s="18">
        <f t="shared" ref="E20:V20" si="5">D20*(1+$B$8)</f>
        <v>1560600</v>
      </c>
      <c r="F20" s="18">
        <f t="shared" si="5"/>
        <v>1591812</v>
      </c>
      <c r="G20" s="18">
        <f t="shared" si="5"/>
        <v>1623648.24</v>
      </c>
      <c r="H20" s="18">
        <f t="shared" si="5"/>
        <v>1656121.2047999999</v>
      </c>
      <c r="I20" s="18">
        <f t="shared" si="5"/>
        <v>1689243.6288959999</v>
      </c>
      <c r="J20" s="18">
        <f t="shared" si="5"/>
        <v>1723028.50147392</v>
      </c>
      <c r="K20" s="18">
        <f t="shared" si="5"/>
        <v>1757489.0715033985</v>
      </c>
      <c r="L20" s="18">
        <f t="shared" si="5"/>
        <v>1792638.8529334664</v>
      </c>
      <c r="M20" s="18">
        <f t="shared" si="5"/>
        <v>1828491.6299921358</v>
      </c>
      <c r="N20" s="18">
        <f t="shared" si="5"/>
        <v>1865061.4625919785</v>
      </c>
      <c r="O20" s="18">
        <f t="shared" si="5"/>
        <v>1902362.6918438182</v>
      </c>
      <c r="P20" s="18">
        <f t="shared" si="5"/>
        <v>1940409.9456806947</v>
      </c>
      <c r="Q20" s="18">
        <f t="shared" si="5"/>
        <v>1979218.1445943087</v>
      </c>
      <c r="R20" s="18">
        <f t="shared" si="5"/>
        <v>2018802.5074861948</v>
      </c>
      <c r="S20" s="18">
        <f t="shared" si="5"/>
        <v>2059178.5576359187</v>
      </c>
      <c r="T20" s="18">
        <f t="shared" si="5"/>
        <v>2100362.128788637</v>
      </c>
      <c r="U20" s="18">
        <f t="shared" si="5"/>
        <v>2142369.3713644096</v>
      </c>
      <c r="V20" s="18">
        <f t="shared" si="5"/>
        <v>2185216.7587916977</v>
      </c>
      <c r="W20" s="14"/>
      <c r="X20" s="14"/>
      <c r="Y20" s="14"/>
      <c r="Z20" s="14"/>
      <c r="AA20" s="14"/>
      <c r="AB20" s="14"/>
      <c r="AC20" s="14"/>
      <c r="AD20" s="14"/>
      <c r="AE20" s="14"/>
      <c r="AF20" s="14"/>
      <c r="AG20" s="14"/>
      <c r="AH20" s="14"/>
      <c r="AI20" s="14"/>
      <c r="AJ20" s="14"/>
      <c r="AK20" s="14"/>
      <c r="AL20" s="14"/>
      <c r="AM20" s="14"/>
      <c r="AN20" s="14"/>
      <c r="AO20" s="14"/>
      <c r="AP20" s="14"/>
      <c r="AQ20" s="14"/>
    </row>
    <row r="21" spans="1:43" x14ac:dyDescent="0.2">
      <c r="A21" s="16" t="s">
        <v>23</v>
      </c>
      <c r="B21" s="16"/>
      <c r="C21" s="21">
        <f>C19-C20</f>
        <v>7260000</v>
      </c>
      <c r="D21" s="21">
        <f>D19-D20</f>
        <v>7316942.9999999981</v>
      </c>
      <c r="E21" s="21">
        <f t="shared" ref="E21:V21" si="6">E19-E20</f>
        <v>7374148.9092749972</v>
      </c>
      <c r="F21" s="21">
        <f t="shared" si="6"/>
        <v>7431614.2921995521</v>
      </c>
      <c r="G21" s="21">
        <f t="shared" si="6"/>
        <v>7489335.5581496302</v>
      </c>
      <c r="H21" s="21">
        <f t="shared" si="6"/>
        <v>7547308.9575462658</v>
      </c>
      <c r="I21" s="21">
        <f t="shared" si="6"/>
        <v>7605530.5778115522</v>
      </c>
      <c r="J21" s="21">
        <f t="shared" si="6"/>
        <v>7663996.3392352033</v>
      </c>
      <c r="K21" s="21">
        <f t="shared" si="6"/>
        <v>7722701.9907497615</v>
      </c>
      <c r="L21" s="21">
        <f t="shared" si="6"/>
        <v>7781643.1056125574</v>
      </c>
      <c r="M21" s="21">
        <f t="shared" si="6"/>
        <v>7840815.0769924549</v>
      </c>
      <c r="N21" s="21">
        <f t="shared" si="6"/>
        <v>7900213.1134594316</v>
      </c>
      <c r="O21" s="21">
        <f t="shared" si="6"/>
        <v>7959832.2343749003</v>
      </c>
      <c r="P21" s="21">
        <f t="shared" si="6"/>
        <v>8019667.2651807442</v>
      </c>
      <c r="Q21" s="21">
        <f t="shared" si="6"/>
        <v>8079712.8325849278</v>
      </c>
      <c r="R21" s="21">
        <f t="shared" si="6"/>
        <v>8139963.3596415464</v>
      </c>
      <c r="S21" s="21">
        <f t="shared" si="6"/>
        <v>8200413.0607230626</v>
      </c>
      <c r="T21" s="21">
        <f t="shared" si="6"/>
        <v>8261055.9363825563</v>
      </c>
      <c r="U21" s="21">
        <f t="shared" si="6"/>
        <v>8321885.768103607</v>
      </c>
      <c r="V21" s="21">
        <f t="shared" si="6"/>
        <v>8382896.1129355375</v>
      </c>
      <c r="W21" s="14"/>
      <c r="X21" s="14"/>
      <c r="Y21" s="14"/>
      <c r="Z21" s="14"/>
      <c r="AA21" s="14"/>
      <c r="AB21" s="14"/>
      <c r="AC21" s="14"/>
      <c r="AD21" s="14"/>
      <c r="AE21" s="14"/>
      <c r="AF21" s="14"/>
      <c r="AG21" s="14"/>
      <c r="AH21" s="14"/>
      <c r="AI21" s="14"/>
      <c r="AJ21" s="14"/>
      <c r="AK21" s="14"/>
      <c r="AL21" s="14"/>
      <c r="AM21" s="14"/>
      <c r="AN21" s="14"/>
      <c r="AO21" s="14"/>
      <c r="AP21" s="14"/>
      <c r="AQ21" s="14"/>
    </row>
    <row r="22" spans="1:43" x14ac:dyDescent="0.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x14ac:dyDescent="0.2">
      <c r="A23" s="14" t="s">
        <v>26</v>
      </c>
      <c r="B23" s="18">
        <f>-(B9*B2)</f>
        <v>-100000000</v>
      </c>
      <c r="C23" s="25">
        <v>0</v>
      </c>
      <c r="D23" s="25">
        <v>0</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0</v>
      </c>
      <c r="W23" s="14"/>
      <c r="X23" s="14"/>
      <c r="Y23" s="14"/>
      <c r="Z23" s="14"/>
      <c r="AA23" s="14"/>
      <c r="AB23" s="14"/>
      <c r="AC23" s="14"/>
      <c r="AD23" s="14"/>
      <c r="AE23" s="14"/>
      <c r="AF23" s="14"/>
      <c r="AG23" s="14"/>
      <c r="AH23" s="14"/>
      <c r="AI23" s="14"/>
      <c r="AJ23" s="14"/>
      <c r="AK23" s="14"/>
      <c r="AL23" s="14"/>
      <c r="AM23" s="14"/>
      <c r="AN23" s="14"/>
      <c r="AO23" s="14"/>
      <c r="AP23" s="14"/>
      <c r="AQ23" s="14"/>
    </row>
    <row r="24" spans="1:43" x14ac:dyDescent="0.2">
      <c r="A24" s="14" t="s">
        <v>25</v>
      </c>
      <c r="B24" s="26"/>
      <c r="C24" s="18">
        <f t="shared" ref="C24:I24" si="7">$B$41*C39</f>
        <v>17000000</v>
      </c>
      <c r="D24" s="18">
        <f t="shared" si="7"/>
        <v>27200000</v>
      </c>
      <c r="E24" s="18">
        <f t="shared" si="7"/>
        <v>16320000</v>
      </c>
      <c r="F24" s="18">
        <f t="shared" si="7"/>
        <v>9792000</v>
      </c>
      <c r="G24" s="18">
        <f t="shared" si="7"/>
        <v>9792000</v>
      </c>
      <c r="H24" s="18">
        <f t="shared" si="7"/>
        <v>4896000</v>
      </c>
      <c r="I24" s="18">
        <f t="shared" si="7"/>
        <v>0</v>
      </c>
      <c r="J24" s="18">
        <f t="shared" ref="J24:V24" si="8">$B$41*J39</f>
        <v>0</v>
      </c>
      <c r="K24" s="18">
        <f t="shared" si="8"/>
        <v>0</v>
      </c>
      <c r="L24" s="18">
        <f t="shared" si="8"/>
        <v>0</v>
      </c>
      <c r="M24" s="18">
        <f t="shared" si="8"/>
        <v>0</v>
      </c>
      <c r="N24" s="18">
        <f t="shared" si="8"/>
        <v>0</v>
      </c>
      <c r="O24" s="18">
        <f t="shared" si="8"/>
        <v>0</v>
      </c>
      <c r="P24" s="18">
        <f t="shared" si="8"/>
        <v>0</v>
      </c>
      <c r="Q24" s="18">
        <f t="shared" si="8"/>
        <v>0</v>
      </c>
      <c r="R24" s="18">
        <f t="shared" si="8"/>
        <v>0</v>
      </c>
      <c r="S24" s="18">
        <f t="shared" si="8"/>
        <v>0</v>
      </c>
      <c r="T24" s="18">
        <f t="shared" si="8"/>
        <v>0</v>
      </c>
      <c r="U24" s="18">
        <f t="shared" si="8"/>
        <v>0</v>
      </c>
      <c r="V24" s="18">
        <f t="shared" si="8"/>
        <v>0</v>
      </c>
      <c r="W24" s="14"/>
      <c r="X24" s="14"/>
      <c r="Y24" s="14"/>
      <c r="Z24" s="14"/>
      <c r="AA24" s="14"/>
      <c r="AB24" s="14"/>
      <c r="AC24" s="14"/>
      <c r="AD24" s="14"/>
      <c r="AE24" s="14"/>
      <c r="AF24" s="14"/>
      <c r="AG24" s="14"/>
      <c r="AH24" s="14"/>
      <c r="AI24" s="14"/>
      <c r="AJ24" s="14"/>
      <c r="AK24" s="14"/>
      <c r="AL24" s="14"/>
      <c r="AM24" s="14"/>
      <c r="AN24" s="14"/>
      <c r="AO24" s="14"/>
      <c r="AP24" s="14"/>
      <c r="AQ24" s="14"/>
    </row>
    <row r="25" spans="1:43" x14ac:dyDescent="0.2">
      <c r="A25" s="14" t="s">
        <v>24</v>
      </c>
      <c r="B25" s="26"/>
      <c r="C25" s="18">
        <f>C21-C24</f>
        <v>-9740000</v>
      </c>
      <c r="D25" s="18">
        <f t="shared" ref="D25:V25" si="9">D21-D24</f>
        <v>-19883057</v>
      </c>
      <c r="E25" s="18">
        <f t="shared" si="9"/>
        <v>-8945851.0907250028</v>
      </c>
      <c r="F25" s="18">
        <f t="shared" si="9"/>
        <v>-2360385.7078004479</v>
      </c>
      <c r="G25" s="18">
        <f t="shared" si="9"/>
        <v>-2302664.4418503698</v>
      </c>
      <c r="H25" s="18">
        <f t="shared" si="9"/>
        <v>2651308.9575462658</v>
      </c>
      <c r="I25" s="18">
        <f>I21-I24</f>
        <v>7605530.5778115522</v>
      </c>
      <c r="J25" s="18">
        <f t="shared" si="9"/>
        <v>7663996.3392352033</v>
      </c>
      <c r="K25" s="18">
        <f t="shared" si="9"/>
        <v>7722701.9907497615</v>
      </c>
      <c r="L25" s="18">
        <f t="shared" si="9"/>
        <v>7781643.1056125574</v>
      </c>
      <c r="M25" s="18">
        <f t="shared" si="9"/>
        <v>7840815.0769924549</v>
      </c>
      <c r="N25" s="18">
        <f t="shared" si="9"/>
        <v>7900213.1134594316</v>
      </c>
      <c r="O25" s="18">
        <f t="shared" si="9"/>
        <v>7959832.2343749003</v>
      </c>
      <c r="P25" s="18">
        <f t="shared" si="9"/>
        <v>8019667.2651807442</v>
      </c>
      <c r="Q25" s="18">
        <f t="shared" si="9"/>
        <v>8079712.8325849278</v>
      </c>
      <c r="R25" s="18">
        <f t="shared" si="9"/>
        <v>8139963.3596415464</v>
      </c>
      <c r="S25" s="18">
        <f t="shared" si="9"/>
        <v>8200413.0607230626</v>
      </c>
      <c r="T25" s="18">
        <f t="shared" si="9"/>
        <v>8261055.9363825563</v>
      </c>
      <c r="U25" s="18">
        <f t="shared" si="9"/>
        <v>8321885.768103607</v>
      </c>
      <c r="V25" s="18">
        <f t="shared" si="9"/>
        <v>8382896.1129355375</v>
      </c>
      <c r="W25" s="14"/>
      <c r="X25" s="14"/>
      <c r="Y25" s="14"/>
      <c r="Z25" s="14"/>
      <c r="AA25" s="14"/>
      <c r="AB25" s="14"/>
      <c r="AC25" s="14"/>
      <c r="AD25" s="14"/>
      <c r="AE25" s="14"/>
      <c r="AF25" s="14"/>
      <c r="AG25" s="14"/>
      <c r="AH25" s="14"/>
      <c r="AI25" s="14"/>
      <c r="AJ25" s="14"/>
      <c r="AK25" s="14"/>
      <c r="AL25" s="14"/>
      <c r="AM25" s="14"/>
      <c r="AN25" s="14"/>
      <c r="AO25" s="14"/>
      <c r="AP25" s="14"/>
      <c r="AQ25" s="14"/>
    </row>
    <row r="26" spans="1:43" x14ac:dyDescent="0.2">
      <c r="A26" s="14" t="s">
        <v>27</v>
      </c>
      <c r="B26" s="26"/>
      <c r="C26" s="18">
        <f>MAX(C25,0)*$B$10</f>
        <v>0</v>
      </c>
      <c r="D26" s="18">
        <f t="shared" ref="D26:V26" si="10">MAX(D25,0)*$B$10</f>
        <v>0</v>
      </c>
      <c r="E26" s="18">
        <f t="shared" si="10"/>
        <v>0</v>
      </c>
      <c r="F26" s="18">
        <f t="shared" si="10"/>
        <v>0</v>
      </c>
      <c r="G26" s="18">
        <f t="shared" si="10"/>
        <v>0</v>
      </c>
      <c r="H26" s="18">
        <f t="shared" si="10"/>
        <v>556774.88108471583</v>
      </c>
      <c r="I26" s="18">
        <f>MAX(I25,0)*$B$10</f>
        <v>1597161.421340426</v>
      </c>
      <c r="J26" s="18">
        <f t="shared" si="10"/>
        <v>1609439.2312393927</v>
      </c>
      <c r="K26" s="18">
        <f t="shared" si="10"/>
        <v>1621767.4180574499</v>
      </c>
      <c r="L26" s="18">
        <f t="shared" si="10"/>
        <v>1634145.0521786369</v>
      </c>
      <c r="M26" s="18">
        <f t="shared" si="10"/>
        <v>1646571.1661684155</v>
      </c>
      <c r="N26" s="18">
        <f t="shared" si="10"/>
        <v>1659044.7538264806</v>
      </c>
      <c r="O26" s="18">
        <f t="shared" si="10"/>
        <v>1671564.7692187291</v>
      </c>
      <c r="P26" s="18">
        <f t="shared" si="10"/>
        <v>1684130.1256879561</v>
      </c>
      <c r="Q26" s="18">
        <f t="shared" si="10"/>
        <v>1696739.6948428347</v>
      </c>
      <c r="R26" s="18">
        <f t="shared" si="10"/>
        <v>1709392.3055247248</v>
      </c>
      <c r="S26" s="18">
        <f t="shared" si="10"/>
        <v>1722086.7427518431</v>
      </c>
      <c r="T26" s="18">
        <f t="shared" si="10"/>
        <v>1734821.7466403367</v>
      </c>
      <c r="U26" s="18">
        <f t="shared" si="10"/>
        <v>1747596.0113017573</v>
      </c>
      <c r="V26" s="18">
        <f t="shared" si="10"/>
        <v>1760408.1837164627</v>
      </c>
      <c r="W26" s="14"/>
      <c r="X26" s="14"/>
      <c r="Y26" s="14"/>
      <c r="Z26" s="14"/>
      <c r="AA26" s="14"/>
      <c r="AB26" s="14"/>
      <c r="AC26" s="14"/>
      <c r="AD26" s="14"/>
      <c r="AE26" s="14"/>
      <c r="AF26" s="14"/>
      <c r="AG26" s="14"/>
      <c r="AH26" s="14"/>
      <c r="AI26" s="14"/>
      <c r="AJ26" s="14"/>
      <c r="AK26" s="14"/>
      <c r="AL26" s="14"/>
      <c r="AM26" s="14"/>
      <c r="AN26" s="14"/>
      <c r="AO26" s="14"/>
      <c r="AP26" s="14"/>
      <c r="AQ26" s="14"/>
    </row>
    <row r="27" spans="1:43" x14ac:dyDescent="0.2">
      <c r="A27" s="16" t="s">
        <v>28</v>
      </c>
      <c r="B27" s="21">
        <f>B23+B40</f>
        <v>-70000000</v>
      </c>
      <c r="C27" s="21">
        <f>C21-C26</f>
        <v>7260000</v>
      </c>
      <c r="D27" s="21">
        <f t="shared" ref="D27:V27" si="11">D21-D26</f>
        <v>7316942.9999999981</v>
      </c>
      <c r="E27" s="21">
        <f t="shared" si="11"/>
        <v>7374148.9092749972</v>
      </c>
      <c r="F27" s="21">
        <f t="shared" si="11"/>
        <v>7431614.2921995521</v>
      </c>
      <c r="G27" s="21">
        <f t="shared" si="11"/>
        <v>7489335.5581496302</v>
      </c>
      <c r="H27" s="21">
        <f t="shared" si="11"/>
        <v>6990534.0764615498</v>
      </c>
      <c r="I27" s="21">
        <f>I21-I26</f>
        <v>6008369.1564711258</v>
      </c>
      <c r="J27" s="21">
        <f t="shared" si="11"/>
        <v>6054557.1079958109</v>
      </c>
      <c r="K27" s="21">
        <f t="shared" si="11"/>
        <v>6100934.5726923114</v>
      </c>
      <c r="L27" s="21">
        <f t="shared" si="11"/>
        <v>6147498.0534339203</v>
      </c>
      <c r="M27" s="21">
        <f t="shared" si="11"/>
        <v>6194243.91082404</v>
      </c>
      <c r="N27" s="21">
        <f t="shared" si="11"/>
        <v>6241168.3596329512</v>
      </c>
      <c r="O27" s="21">
        <f t="shared" si="11"/>
        <v>6288267.4651561715</v>
      </c>
      <c r="P27" s="21">
        <f t="shared" si="11"/>
        <v>6335537.1394927884</v>
      </c>
      <c r="Q27" s="21">
        <f t="shared" si="11"/>
        <v>6382973.1377420928</v>
      </c>
      <c r="R27" s="21">
        <f t="shared" si="11"/>
        <v>6430571.0541168218</v>
      </c>
      <c r="S27" s="21">
        <f t="shared" si="11"/>
        <v>6478326.3179712193</v>
      </c>
      <c r="T27" s="21">
        <f t="shared" si="11"/>
        <v>6526234.1897422196</v>
      </c>
      <c r="U27" s="21">
        <f t="shared" si="11"/>
        <v>6574289.7568018492</v>
      </c>
      <c r="V27" s="21">
        <f t="shared" si="11"/>
        <v>6622487.9292190745</v>
      </c>
      <c r="W27" s="14"/>
      <c r="X27" s="14"/>
      <c r="Y27" s="14"/>
      <c r="Z27" s="14"/>
      <c r="AA27" s="14"/>
      <c r="AB27" s="14"/>
      <c r="AC27" s="14"/>
      <c r="AD27" s="14"/>
      <c r="AE27" s="14"/>
      <c r="AF27" s="14"/>
      <c r="AG27" s="14"/>
      <c r="AH27" s="14"/>
      <c r="AI27" s="14"/>
      <c r="AJ27" s="14"/>
      <c r="AK27" s="14"/>
      <c r="AL27" s="14"/>
      <c r="AM27" s="14"/>
      <c r="AN27" s="14"/>
      <c r="AO27" s="14"/>
      <c r="AP27" s="14"/>
      <c r="AQ27" s="14"/>
    </row>
    <row r="28" spans="1:43" x14ac:dyDescent="0.2">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row>
    <row r="29" spans="1:43"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row>
    <row r="30" spans="1:43" ht="19" x14ac:dyDescent="0.25">
      <c r="A30" s="31" t="s">
        <v>29</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row>
    <row r="31" spans="1:43" x14ac:dyDescent="0.2">
      <c r="A31" s="27" t="s">
        <v>30</v>
      </c>
      <c r="B31" s="28">
        <f>IRR(B27:V27)</f>
        <v>7.2572668032161003E-2</v>
      </c>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row>
    <row r="32" spans="1:43" x14ac:dyDescent="0.2">
      <c r="A32" s="29" t="s">
        <v>31</v>
      </c>
      <c r="B32" s="30">
        <f>NPV(B11,C27:V27)+B27</f>
        <v>-3687956.5479572043</v>
      </c>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row>
    <row r="33" spans="1:43" x14ac:dyDescent="0.2">
      <c r="A33" s="14"/>
      <c r="B33" s="40"/>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row>
    <row r="34" spans="1:43" x14ac:dyDescent="0.2">
      <c r="A34" s="14" t="s">
        <v>48</v>
      </c>
      <c r="B34" s="40"/>
      <c r="C34" s="18">
        <f>C27/$F$2</f>
        <v>5584615.384615384</v>
      </c>
      <c r="D34" s="18">
        <f t="shared" ref="D34:Q34" si="12">D27/$F$2</f>
        <v>5628417.6923076911</v>
      </c>
      <c r="E34" s="18">
        <f t="shared" si="12"/>
        <v>5672422.2379038436</v>
      </c>
      <c r="F34" s="18">
        <f t="shared" si="12"/>
        <v>5716626.3786150394</v>
      </c>
      <c r="G34" s="18">
        <f t="shared" si="12"/>
        <v>5761027.3524227925</v>
      </c>
      <c r="H34" s="18">
        <f t="shared" si="12"/>
        <v>5377333.9049704224</v>
      </c>
      <c r="I34" s="18">
        <f t="shared" si="12"/>
        <v>4621822.4280547118</v>
      </c>
      <c r="J34" s="18">
        <f t="shared" si="12"/>
        <v>4657351.6215352388</v>
      </c>
      <c r="K34" s="18">
        <f t="shared" si="12"/>
        <v>4693026.5943787005</v>
      </c>
      <c r="L34" s="18">
        <f t="shared" si="12"/>
        <v>4728844.6564876307</v>
      </c>
      <c r="M34" s="18">
        <f t="shared" si="12"/>
        <v>4764803.008326184</v>
      </c>
      <c r="N34" s="18">
        <f t="shared" si="12"/>
        <v>4800898.7381791929</v>
      </c>
      <c r="O34" s="18">
        <f t="shared" si="12"/>
        <v>4837128.8193509011</v>
      </c>
      <c r="P34" s="18">
        <f t="shared" si="12"/>
        <v>4873490.1073021451</v>
      </c>
      <c r="Q34" s="18">
        <f t="shared" si="12"/>
        <v>4909979.3367246864</v>
      </c>
      <c r="R34" s="19">
        <v>0</v>
      </c>
      <c r="S34" s="19">
        <v>0</v>
      </c>
      <c r="T34" s="19">
        <v>0</v>
      </c>
      <c r="U34" s="19">
        <v>0</v>
      </c>
      <c r="V34" s="19">
        <v>0</v>
      </c>
      <c r="W34" s="14"/>
      <c r="X34" s="14"/>
      <c r="Y34" s="14"/>
      <c r="Z34" s="14"/>
      <c r="AA34" s="14"/>
      <c r="AB34" s="14"/>
      <c r="AC34" s="14"/>
      <c r="AD34" s="14"/>
      <c r="AE34" s="14"/>
      <c r="AF34" s="14"/>
      <c r="AG34" s="14"/>
      <c r="AH34" s="14"/>
      <c r="AI34" s="14"/>
      <c r="AJ34" s="14"/>
      <c r="AK34" s="14"/>
      <c r="AL34" s="14"/>
      <c r="AM34" s="14"/>
      <c r="AN34" s="14"/>
      <c r="AO34" s="14"/>
      <c r="AP34" s="14"/>
      <c r="AQ34" s="14"/>
    </row>
    <row r="35" spans="1:43" x14ac:dyDescent="0.2">
      <c r="A35" s="14" t="s">
        <v>47</v>
      </c>
      <c r="B35" s="40"/>
      <c r="C35" s="18">
        <f>NPV(F4,C34:Q34)</f>
        <v>50446637.019048646</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row>
    <row r="36" spans="1:43" x14ac:dyDescent="0.2">
      <c r="A36" s="14"/>
      <c r="B36" s="40"/>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row>
    <row r="37" spans="1:43" x14ac:dyDescent="0.2">
      <c r="A37" s="35" t="s">
        <v>50</v>
      </c>
      <c r="B37" s="40"/>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row>
    <row r="38" spans="1:43" x14ac:dyDescent="0.2">
      <c r="A38" s="14" t="s">
        <v>52</v>
      </c>
      <c r="B38" s="42">
        <v>0.3</v>
      </c>
      <c r="C38" s="43"/>
      <c r="D38" s="43"/>
      <c r="E38" s="43"/>
      <c r="F38" s="43"/>
      <c r="G38" s="43"/>
      <c r="H38" s="43"/>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row>
    <row r="39" spans="1:43" x14ac:dyDescent="0.2">
      <c r="A39" s="14" t="s">
        <v>51</v>
      </c>
      <c r="B39" s="42"/>
      <c r="C39" s="44">
        <v>0.2</v>
      </c>
      <c r="D39" s="44">
        <v>0.32</v>
      </c>
      <c r="E39" s="44">
        <v>0.192</v>
      </c>
      <c r="F39" s="44">
        <v>0.1152</v>
      </c>
      <c r="G39" s="44">
        <v>0.1152</v>
      </c>
      <c r="H39" s="44">
        <v>5.7599999999999998E-2</v>
      </c>
      <c r="I39" s="41"/>
      <c r="J39" s="41"/>
      <c r="K39" s="41"/>
      <c r="L39" s="41"/>
      <c r="M39" s="41"/>
      <c r="N39" s="41"/>
      <c r="O39" s="41"/>
      <c r="P39" s="41"/>
      <c r="Q39" s="41"/>
      <c r="R39" s="41"/>
      <c r="S39" s="41"/>
      <c r="T39" s="41"/>
      <c r="U39" s="41"/>
      <c r="V39" s="41"/>
      <c r="W39" s="14"/>
      <c r="X39" s="14"/>
      <c r="Y39" s="14"/>
      <c r="Z39" s="14"/>
      <c r="AA39" s="14"/>
      <c r="AB39" s="14"/>
      <c r="AC39" s="14"/>
      <c r="AD39" s="14"/>
      <c r="AE39" s="14"/>
      <c r="AF39" s="14"/>
      <c r="AG39" s="14"/>
      <c r="AH39" s="14"/>
      <c r="AI39" s="14"/>
      <c r="AJ39" s="14"/>
      <c r="AK39" s="14"/>
      <c r="AL39" s="14"/>
      <c r="AM39" s="14"/>
      <c r="AN39" s="14"/>
      <c r="AO39" s="14"/>
      <c r="AP39" s="14"/>
      <c r="AQ39" s="14"/>
    </row>
    <row r="40" spans="1:43" x14ac:dyDescent="0.2">
      <c r="A40" s="14" t="s">
        <v>53</v>
      </c>
      <c r="B40" s="45">
        <f>B2*B9*B38</f>
        <v>30000000</v>
      </c>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row>
    <row r="41" spans="1:43" x14ac:dyDescent="0.2">
      <c r="A41" s="14" t="s">
        <v>54</v>
      </c>
      <c r="B41" s="45">
        <f>B2*B9-(0.5*B40)</f>
        <v>85000000</v>
      </c>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row>
    <row r="42" spans="1:43" x14ac:dyDescent="0.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row>
    <row r="43" spans="1:43" x14ac:dyDescent="0.2">
      <c r="A43" s="16" t="s">
        <v>32</v>
      </c>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row>
    <row r="44" spans="1:43" x14ac:dyDescent="0.2">
      <c r="A44" s="17" t="s">
        <v>18</v>
      </c>
      <c r="B44" s="22">
        <v>0</v>
      </c>
      <c r="C44" s="22">
        <f>B44+1</f>
        <v>1</v>
      </c>
      <c r="D44" s="22">
        <f t="shared" ref="D44:U44" si="13">C44+1</f>
        <v>2</v>
      </c>
      <c r="E44" s="22">
        <f t="shared" si="13"/>
        <v>3</v>
      </c>
      <c r="F44" s="23">
        <f t="shared" si="13"/>
        <v>4</v>
      </c>
      <c r="G44" s="23">
        <f t="shared" si="13"/>
        <v>5</v>
      </c>
      <c r="H44" s="22">
        <f t="shared" si="13"/>
        <v>6</v>
      </c>
      <c r="I44" s="22">
        <f t="shared" si="13"/>
        <v>7</v>
      </c>
      <c r="J44" s="22">
        <f t="shared" si="13"/>
        <v>8</v>
      </c>
      <c r="K44" s="22">
        <f t="shared" si="13"/>
        <v>9</v>
      </c>
      <c r="L44" s="22">
        <f t="shared" si="13"/>
        <v>10</v>
      </c>
      <c r="M44" s="22">
        <f t="shared" si="13"/>
        <v>11</v>
      </c>
      <c r="N44" s="22">
        <f t="shared" si="13"/>
        <v>12</v>
      </c>
      <c r="O44" s="22">
        <f t="shared" si="13"/>
        <v>13</v>
      </c>
      <c r="P44" s="22">
        <f t="shared" si="13"/>
        <v>14</v>
      </c>
      <c r="Q44" s="22">
        <f t="shared" si="13"/>
        <v>15</v>
      </c>
      <c r="R44" s="22">
        <f t="shared" si="13"/>
        <v>16</v>
      </c>
      <c r="S44" s="22">
        <f t="shared" si="13"/>
        <v>17</v>
      </c>
      <c r="T44" s="22">
        <f t="shared" si="13"/>
        <v>18</v>
      </c>
      <c r="U44" s="22">
        <f t="shared" si="13"/>
        <v>19</v>
      </c>
      <c r="V44" s="22">
        <f>U44+1</f>
        <v>20</v>
      </c>
      <c r="W44" s="14"/>
      <c r="X44" s="14"/>
      <c r="Y44" s="14"/>
      <c r="Z44" s="14"/>
      <c r="AA44" s="14"/>
      <c r="AB44" s="14"/>
      <c r="AC44" s="14"/>
      <c r="AD44" s="14"/>
      <c r="AE44" s="14"/>
      <c r="AF44" s="14"/>
      <c r="AG44" s="14"/>
      <c r="AH44" s="14"/>
      <c r="AI44" s="14"/>
      <c r="AJ44" s="14"/>
      <c r="AK44" s="14"/>
      <c r="AL44" s="14"/>
      <c r="AM44" s="14"/>
      <c r="AN44" s="14"/>
      <c r="AO44" s="14"/>
      <c r="AP44" s="14"/>
      <c r="AQ44" s="14"/>
    </row>
    <row r="45" spans="1:43" x14ac:dyDescent="0.2">
      <c r="A45" s="14" t="s">
        <v>33</v>
      </c>
      <c r="B45" s="18">
        <f>-C35</f>
        <v>-50446637.019048646</v>
      </c>
      <c r="C45" s="19">
        <v>0</v>
      </c>
      <c r="D45" s="19">
        <v>0</v>
      </c>
      <c r="E45" s="19">
        <v>0</v>
      </c>
      <c r="F45" s="19">
        <v>0</v>
      </c>
      <c r="G45" s="19">
        <v>0</v>
      </c>
      <c r="H45" s="19">
        <v>0</v>
      </c>
      <c r="I45" s="19">
        <v>0</v>
      </c>
      <c r="J45" s="19">
        <v>0</v>
      </c>
      <c r="K45" s="19">
        <v>0</v>
      </c>
      <c r="L45" s="19">
        <v>0</v>
      </c>
      <c r="M45" s="19">
        <v>0</v>
      </c>
      <c r="N45" s="19">
        <v>0</v>
      </c>
      <c r="O45" s="19">
        <v>0</v>
      </c>
      <c r="P45" s="19">
        <v>0</v>
      </c>
      <c r="Q45" s="19">
        <v>0</v>
      </c>
      <c r="R45" s="19">
        <v>0</v>
      </c>
      <c r="S45" s="19">
        <v>0</v>
      </c>
      <c r="T45" s="19">
        <v>0</v>
      </c>
      <c r="U45" s="19">
        <v>0</v>
      </c>
      <c r="V45" s="19">
        <v>0</v>
      </c>
      <c r="W45" s="14"/>
      <c r="X45" s="14"/>
      <c r="Y45" s="14"/>
      <c r="Z45" s="14"/>
      <c r="AA45" s="14"/>
      <c r="AB45" s="14"/>
      <c r="AC45" s="14"/>
      <c r="AD45" s="14"/>
      <c r="AE45" s="14"/>
      <c r="AF45" s="14"/>
      <c r="AG45" s="14"/>
      <c r="AH45" s="14"/>
      <c r="AI45" s="14"/>
      <c r="AJ45" s="14"/>
      <c r="AK45" s="14"/>
      <c r="AL45" s="14"/>
      <c r="AM45" s="14"/>
      <c r="AN45" s="14"/>
      <c r="AO45" s="14"/>
      <c r="AP45" s="14"/>
      <c r="AQ45" s="14"/>
    </row>
    <row r="46" spans="1:43" x14ac:dyDescent="0.2">
      <c r="A46" s="14" t="s">
        <v>34</v>
      </c>
      <c r="B46" s="32"/>
      <c r="C46" s="18">
        <f>-B45</f>
        <v>50446637.019048646</v>
      </c>
      <c r="D46" s="18">
        <f>C49</f>
        <v>47888819.85557618</v>
      </c>
      <c r="E46" s="18">
        <f t="shared" ref="E46:V46" si="14">D49</f>
        <v>45133731.35460306</v>
      </c>
      <c r="F46" s="18">
        <f t="shared" si="14"/>
        <v>42169332.997975402</v>
      </c>
      <c r="G46" s="18">
        <f t="shared" si="14"/>
        <v>38982866.599238887</v>
      </c>
      <c r="H46" s="18">
        <f t="shared" si="14"/>
        <v>35560811.242770426</v>
      </c>
      <c r="I46" s="18">
        <f t="shared" si="14"/>
        <v>32317126.012366228</v>
      </c>
      <c r="J46" s="18">
        <f t="shared" si="14"/>
        <v>29634331.145053491</v>
      </c>
      <c r="K46" s="18">
        <f t="shared" si="14"/>
        <v>26755039.392221462</v>
      </c>
      <c r="L46" s="18">
        <f t="shared" si="14"/>
        <v>23667315.161376048</v>
      </c>
      <c r="M46" s="18">
        <f t="shared" si="14"/>
        <v>20358509.41457098</v>
      </c>
      <c r="N46" s="18">
        <f t="shared" si="14"/>
        <v>16815216.971119054</v>
      </c>
      <c r="O46" s="18">
        <f t="shared" si="14"/>
        <v>13023231.251207003</v>
      </c>
      <c r="P46" s="18">
        <f t="shared" si="14"/>
        <v>8967496.3069285229</v>
      </c>
      <c r="Q46" s="18">
        <f t="shared" si="14"/>
        <v>4632055.9780420894</v>
      </c>
      <c r="R46" s="18">
        <f>Q49</f>
        <v>-7.1711838245391846E-8</v>
      </c>
      <c r="S46" s="18">
        <f t="shared" si="14"/>
        <v>-7.1711838245391846E-8</v>
      </c>
      <c r="T46" s="18">
        <f t="shared" si="14"/>
        <v>-7.1711838245391846E-8</v>
      </c>
      <c r="U46" s="18">
        <f t="shared" si="14"/>
        <v>-7.1711838245391846E-8</v>
      </c>
      <c r="V46" s="18">
        <f t="shared" si="14"/>
        <v>-7.1711838245391846E-8</v>
      </c>
      <c r="W46" s="14"/>
      <c r="X46" s="14"/>
      <c r="Y46" s="14"/>
      <c r="Z46" s="14"/>
      <c r="AA46" s="14"/>
      <c r="AB46" s="14"/>
      <c r="AC46" s="14"/>
      <c r="AD46" s="14"/>
      <c r="AE46" s="14"/>
      <c r="AF46" s="14"/>
      <c r="AG46" s="14"/>
      <c r="AH46" s="14"/>
      <c r="AI46" s="14"/>
      <c r="AJ46" s="14"/>
      <c r="AK46" s="14"/>
      <c r="AL46" s="14"/>
      <c r="AM46" s="14"/>
      <c r="AN46" s="14"/>
      <c r="AO46" s="14"/>
      <c r="AP46" s="14"/>
      <c r="AQ46" s="14"/>
    </row>
    <row r="47" spans="1:43" x14ac:dyDescent="0.2">
      <c r="A47" s="14" t="s">
        <v>35</v>
      </c>
      <c r="B47" s="14"/>
      <c r="C47" s="20">
        <f>C46*$F$4</f>
        <v>3026798.2211429188</v>
      </c>
      <c r="D47" s="20">
        <f>D46*$F$4</f>
        <v>2873329.1913345708</v>
      </c>
      <c r="E47" s="20">
        <f t="shared" ref="E47:Q47" si="15">E46*$F$4</f>
        <v>2708023.8812761833</v>
      </c>
      <c r="F47" s="20">
        <f t="shared" si="15"/>
        <v>2530159.9798785239</v>
      </c>
      <c r="G47" s="20">
        <f t="shared" si="15"/>
        <v>2338971.9959543333</v>
      </c>
      <c r="H47" s="20">
        <f t="shared" si="15"/>
        <v>2133648.6745662256</v>
      </c>
      <c r="I47" s="20">
        <f t="shared" si="15"/>
        <v>1939027.5607419736</v>
      </c>
      <c r="J47" s="20">
        <f t="shared" si="15"/>
        <v>1778059.8687032093</v>
      </c>
      <c r="K47" s="20">
        <f t="shared" si="15"/>
        <v>1605302.3635332878</v>
      </c>
      <c r="L47" s="20">
        <f t="shared" si="15"/>
        <v>1420038.9096825628</v>
      </c>
      <c r="M47" s="20">
        <f t="shared" si="15"/>
        <v>1221510.5648742588</v>
      </c>
      <c r="N47" s="20">
        <f t="shared" si="15"/>
        <v>1008913.0182671432</v>
      </c>
      <c r="O47" s="20">
        <f t="shared" si="15"/>
        <v>781393.87507242023</v>
      </c>
      <c r="P47" s="20">
        <f t="shared" si="15"/>
        <v>538049.77841571136</v>
      </c>
      <c r="Q47" s="20">
        <f t="shared" si="15"/>
        <v>277923.35868252534</v>
      </c>
      <c r="R47" s="20">
        <v>0</v>
      </c>
      <c r="S47" s="20">
        <v>0</v>
      </c>
      <c r="T47" s="20">
        <v>0</v>
      </c>
      <c r="U47" s="20">
        <v>0</v>
      </c>
      <c r="V47" s="20">
        <v>0</v>
      </c>
      <c r="W47" s="14"/>
      <c r="X47" s="14"/>
      <c r="Y47" s="14"/>
      <c r="Z47" s="14"/>
      <c r="AA47" s="14"/>
      <c r="AB47" s="14"/>
      <c r="AC47" s="14"/>
      <c r="AD47" s="14"/>
      <c r="AE47" s="14"/>
      <c r="AF47" s="14"/>
      <c r="AG47" s="14"/>
      <c r="AH47" s="14"/>
      <c r="AI47" s="14"/>
      <c r="AJ47" s="14"/>
      <c r="AK47" s="14"/>
      <c r="AL47" s="14"/>
      <c r="AM47" s="14"/>
      <c r="AN47" s="14"/>
      <c r="AO47" s="14"/>
      <c r="AP47" s="14"/>
      <c r="AQ47" s="14"/>
    </row>
    <row r="48" spans="1:43" x14ac:dyDescent="0.2">
      <c r="A48" s="14" t="s">
        <v>36</v>
      </c>
      <c r="B48" s="14"/>
      <c r="C48" s="20">
        <f>C34-C47</f>
        <v>2557817.1634724652</v>
      </c>
      <c r="D48" s="20">
        <f>D34-D47</f>
        <v>2755088.5009731203</v>
      </c>
      <c r="E48" s="20">
        <f t="shared" ref="E48:Q48" si="16">E34-E47</f>
        <v>2964398.3566276603</v>
      </c>
      <c r="F48" s="20">
        <f t="shared" si="16"/>
        <v>3186466.3987365155</v>
      </c>
      <c r="G48" s="20">
        <f t="shared" si="16"/>
        <v>3422055.3564684591</v>
      </c>
      <c r="H48" s="20">
        <f t="shared" si="16"/>
        <v>3243685.2304041968</v>
      </c>
      <c r="I48" s="20">
        <f t="shared" si="16"/>
        <v>2682794.8673127382</v>
      </c>
      <c r="J48" s="20">
        <f t="shared" si="16"/>
        <v>2879291.7528320295</v>
      </c>
      <c r="K48" s="20">
        <f t="shared" si="16"/>
        <v>3087724.2308454127</v>
      </c>
      <c r="L48" s="20">
        <f t="shared" si="16"/>
        <v>3308805.7468050681</v>
      </c>
      <c r="M48" s="20">
        <f t="shared" si="16"/>
        <v>3543292.4434519252</v>
      </c>
      <c r="N48" s="20">
        <f t="shared" si="16"/>
        <v>3791985.7199120498</v>
      </c>
      <c r="O48" s="20">
        <f t="shared" si="16"/>
        <v>4055734.944278481</v>
      </c>
      <c r="P48" s="20">
        <f t="shared" si="16"/>
        <v>4335440.3288864335</v>
      </c>
      <c r="Q48" s="20">
        <f t="shared" si="16"/>
        <v>4632055.9780421611</v>
      </c>
      <c r="R48" s="20">
        <v>0</v>
      </c>
      <c r="S48" s="20">
        <v>0</v>
      </c>
      <c r="T48" s="20">
        <v>0</v>
      </c>
      <c r="U48" s="20">
        <v>0</v>
      </c>
      <c r="V48" s="20">
        <v>0</v>
      </c>
      <c r="W48" s="14"/>
      <c r="X48" s="14"/>
      <c r="Y48" s="14"/>
      <c r="Z48" s="14"/>
      <c r="AA48" s="14"/>
      <c r="AB48" s="14"/>
      <c r="AC48" s="14"/>
      <c r="AD48" s="14"/>
      <c r="AE48" s="14"/>
      <c r="AF48" s="14"/>
      <c r="AG48" s="14"/>
      <c r="AH48" s="14"/>
      <c r="AI48" s="14"/>
      <c r="AJ48" s="14"/>
      <c r="AK48" s="14"/>
      <c r="AL48" s="14"/>
      <c r="AM48" s="14"/>
      <c r="AN48" s="14"/>
      <c r="AO48" s="14"/>
      <c r="AP48" s="14"/>
      <c r="AQ48" s="14"/>
    </row>
    <row r="49" spans="1:43" x14ac:dyDescent="0.2">
      <c r="A49" s="14" t="s">
        <v>37</v>
      </c>
      <c r="B49" s="18">
        <f>B45</f>
        <v>-50446637.019048646</v>
      </c>
      <c r="C49" s="20">
        <f>C46-C48</f>
        <v>47888819.85557618</v>
      </c>
      <c r="D49" s="20">
        <f>D46-D48</f>
        <v>45133731.35460306</v>
      </c>
      <c r="E49" s="20">
        <f t="shared" ref="E49:V49" si="17">E46-E48</f>
        <v>42169332.997975402</v>
      </c>
      <c r="F49" s="20">
        <f t="shared" si="17"/>
        <v>38982866.599238887</v>
      </c>
      <c r="G49" s="20">
        <f t="shared" si="17"/>
        <v>35560811.242770426</v>
      </c>
      <c r="H49" s="20">
        <f t="shared" si="17"/>
        <v>32317126.012366228</v>
      </c>
      <c r="I49" s="20">
        <f t="shared" si="17"/>
        <v>29634331.145053491</v>
      </c>
      <c r="J49" s="20">
        <f t="shared" si="17"/>
        <v>26755039.392221462</v>
      </c>
      <c r="K49" s="20">
        <f t="shared" si="17"/>
        <v>23667315.161376048</v>
      </c>
      <c r="L49" s="20">
        <f t="shared" si="17"/>
        <v>20358509.41457098</v>
      </c>
      <c r="M49" s="20">
        <f t="shared" si="17"/>
        <v>16815216.971119054</v>
      </c>
      <c r="N49" s="20">
        <f t="shared" si="17"/>
        <v>13023231.251207003</v>
      </c>
      <c r="O49" s="20">
        <f t="shared" si="17"/>
        <v>8967496.3069285229</v>
      </c>
      <c r="P49" s="20">
        <f t="shared" si="17"/>
        <v>4632055.9780420894</v>
      </c>
      <c r="Q49" s="20">
        <f t="shared" si="17"/>
        <v>-7.1711838245391846E-8</v>
      </c>
      <c r="R49" s="20">
        <f t="shared" si="17"/>
        <v>-7.1711838245391846E-8</v>
      </c>
      <c r="S49" s="20">
        <f t="shared" si="17"/>
        <v>-7.1711838245391846E-8</v>
      </c>
      <c r="T49" s="20">
        <f t="shared" si="17"/>
        <v>-7.1711838245391846E-8</v>
      </c>
      <c r="U49" s="20">
        <f t="shared" si="17"/>
        <v>-7.1711838245391846E-8</v>
      </c>
      <c r="V49" s="20">
        <f t="shared" si="17"/>
        <v>-7.1711838245391846E-8</v>
      </c>
      <c r="W49" s="14"/>
      <c r="X49" s="14"/>
      <c r="Y49" s="14"/>
      <c r="Z49" s="14"/>
      <c r="AA49" s="14"/>
      <c r="AB49" s="14"/>
      <c r="AC49" s="14"/>
      <c r="AD49" s="14"/>
      <c r="AE49" s="14"/>
      <c r="AF49" s="14"/>
      <c r="AG49" s="14"/>
      <c r="AH49" s="14"/>
      <c r="AI49" s="14"/>
      <c r="AJ49" s="14"/>
      <c r="AK49" s="14"/>
      <c r="AL49" s="14"/>
      <c r="AM49" s="14"/>
      <c r="AN49" s="14"/>
      <c r="AO49" s="14"/>
      <c r="AP49" s="14"/>
      <c r="AQ49" s="14"/>
    </row>
    <row r="50" spans="1:43" x14ac:dyDescent="0.2">
      <c r="A50" s="14" t="s">
        <v>39</v>
      </c>
      <c r="B50" s="14"/>
      <c r="C50" s="20">
        <f>C47+C48</f>
        <v>5584615.384615384</v>
      </c>
      <c r="D50" s="20">
        <f>D47+D48</f>
        <v>5628417.6923076911</v>
      </c>
      <c r="E50" s="20">
        <f t="shared" ref="E50:V50" si="18">E47+E48</f>
        <v>5672422.2379038436</v>
      </c>
      <c r="F50" s="20">
        <f t="shared" si="18"/>
        <v>5716626.3786150394</v>
      </c>
      <c r="G50" s="20">
        <f t="shared" si="18"/>
        <v>5761027.3524227925</v>
      </c>
      <c r="H50" s="20">
        <f t="shared" si="18"/>
        <v>5377333.9049704224</v>
      </c>
      <c r="I50" s="20">
        <f t="shared" si="18"/>
        <v>4621822.4280547118</v>
      </c>
      <c r="J50" s="20">
        <f t="shared" si="18"/>
        <v>4657351.6215352388</v>
      </c>
      <c r="K50" s="20">
        <f t="shared" si="18"/>
        <v>4693026.5943787005</v>
      </c>
      <c r="L50" s="20">
        <f t="shared" si="18"/>
        <v>4728844.6564876307</v>
      </c>
      <c r="M50" s="20">
        <f t="shared" si="18"/>
        <v>4764803.008326184</v>
      </c>
      <c r="N50" s="20">
        <f t="shared" si="18"/>
        <v>4800898.7381791929</v>
      </c>
      <c r="O50" s="20">
        <f t="shared" si="18"/>
        <v>4837128.8193509011</v>
      </c>
      <c r="P50" s="20">
        <f t="shared" si="18"/>
        <v>4873490.1073021451</v>
      </c>
      <c r="Q50" s="20">
        <f t="shared" si="18"/>
        <v>4909979.3367246864</v>
      </c>
      <c r="R50" s="20">
        <f t="shared" si="18"/>
        <v>0</v>
      </c>
      <c r="S50" s="20">
        <f t="shared" si="18"/>
        <v>0</v>
      </c>
      <c r="T50" s="20">
        <f t="shared" si="18"/>
        <v>0</v>
      </c>
      <c r="U50" s="20">
        <f t="shared" si="18"/>
        <v>0</v>
      </c>
      <c r="V50" s="20">
        <f t="shared" si="18"/>
        <v>0</v>
      </c>
      <c r="W50" s="14"/>
      <c r="X50" s="14"/>
      <c r="Y50" s="14"/>
      <c r="Z50" s="14"/>
      <c r="AA50" s="14"/>
      <c r="AB50" s="14"/>
      <c r="AC50" s="14"/>
      <c r="AD50" s="14"/>
      <c r="AE50" s="14"/>
      <c r="AF50" s="14"/>
      <c r="AG50" s="14"/>
      <c r="AH50" s="14"/>
      <c r="AI50" s="14"/>
      <c r="AJ50" s="14"/>
      <c r="AK50" s="14"/>
      <c r="AL50" s="14"/>
      <c r="AM50" s="14"/>
      <c r="AN50" s="14"/>
      <c r="AO50" s="14"/>
      <c r="AP50" s="14"/>
      <c r="AQ50" s="14"/>
    </row>
    <row r="51" spans="1:43" x14ac:dyDescent="0.2">
      <c r="A51" s="14" t="s">
        <v>38</v>
      </c>
      <c r="B51" s="14"/>
      <c r="C51" s="33">
        <f>C27/C50</f>
        <v>1.3</v>
      </c>
      <c r="D51" s="33">
        <f>D27/D50</f>
        <v>1.3</v>
      </c>
      <c r="E51" s="33">
        <f t="shared" ref="E51:Q51" si="19">E27/E50</f>
        <v>1.3</v>
      </c>
      <c r="F51" s="33">
        <f t="shared" si="19"/>
        <v>1.3</v>
      </c>
      <c r="G51" s="33">
        <f t="shared" si="19"/>
        <v>1.3</v>
      </c>
      <c r="H51" s="33">
        <f t="shared" si="19"/>
        <v>1.3</v>
      </c>
      <c r="I51" s="33">
        <f t="shared" si="19"/>
        <v>1.3</v>
      </c>
      <c r="J51" s="33">
        <f t="shared" si="19"/>
        <v>1.3</v>
      </c>
      <c r="K51" s="33">
        <f t="shared" si="19"/>
        <v>1.3000000000000003</v>
      </c>
      <c r="L51" s="33">
        <f t="shared" si="19"/>
        <v>1.3</v>
      </c>
      <c r="M51" s="33">
        <f t="shared" si="19"/>
        <v>1.3000000000000003</v>
      </c>
      <c r="N51" s="33">
        <f t="shared" si="19"/>
        <v>1.3</v>
      </c>
      <c r="O51" s="33">
        <f t="shared" si="19"/>
        <v>1.3</v>
      </c>
      <c r="P51" s="33">
        <f t="shared" si="19"/>
        <v>1.3</v>
      </c>
      <c r="Q51" s="33">
        <f t="shared" si="19"/>
        <v>1.3</v>
      </c>
      <c r="R51" s="34">
        <v>0</v>
      </c>
      <c r="S51" s="34">
        <v>0</v>
      </c>
      <c r="T51" s="34">
        <v>0</v>
      </c>
      <c r="U51" s="34">
        <v>0</v>
      </c>
      <c r="V51" s="34">
        <v>0</v>
      </c>
      <c r="W51" s="14"/>
      <c r="X51" s="14"/>
      <c r="Y51" s="14"/>
      <c r="Z51" s="14"/>
      <c r="AA51" s="14"/>
      <c r="AB51" s="14"/>
      <c r="AC51" s="14"/>
      <c r="AD51" s="14"/>
      <c r="AE51" s="14"/>
      <c r="AF51" s="14"/>
      <c r="AG51" s="14"/>
      <c r="AH51" s="14"/>
      <c r="AI51" s="14"/>
      <c r="AJ51" s="14"/>
      <c r="AK51" s="14"/>
      <c r="AL51" s="14"/>
      <c r="AM51" s="14"/>
      <c r="AN51" s="14"/>
      <c r="AO51" s="14"/>
      <c r="AP51" s="14"/>
      <c r="AQ51" s="14"/>
    </row>
    <row r="52" spans="1:43" x14ac:dyDescent="0.2">
      <c r="A52" s="16" t="s">
        <v>40</v>
      </c>
      <c r="B52" s="21">
        <f>B27-B45</f>
        <v>-19553362.980951354</v>
      </c>
      <c r="C52" s="21">
        <f>C27-C50</f>
        <v>1675384.615384616</v>
      </c>
      <c r="D52" s="21">
        <f>D27-D50</f>
        <v>1688525.307692307</v>
      </c>
      <c r="E52" s="21">
        <f t="shared" ref="E52:Q52" si="20">E27-E50</f>
        <v>1701726.6713711536</v>
      </c>
      <c r="F52" s="21">
        <f t="shared" si="20"/>
        <v>1714987.9135845127</v>
      </c>
      <c r="G52" s="21">
        <f t="shared" si="20"/>
        <v>1728308.2057268377</v>
      </c>
      <c r="H52" s="21">
        <f t="shared" si="20"/>
        <v>1613200.1714911275</v>
      </c>
      <c r="I52" s="21">
        <f t="shared" si="20"/>
        <v>1386546.728416414</v>
      </c>
      <c r="J52" s="21">
        <f t="shared" si="20"/>
        <v>1397205.4864605721</v>
      </c>
      <c r="K52" s="21">
        <f t="shared" si="20"/>
        <v>1407907.9783136109</v>
      </c>
      <c r="L52" s="21">
        <f t="shared" si="20"/>
        <v>1418653.3969462896</v>
      </c>
      <c r="M52" s="21">
        <f t="shared" si="20"/>
        <v>1429440.9024978559</v>
      </c>
      <c r="N52" s="21">
        <f t="shared" si="20"/>
        <v>1440269.6214537583</v>
      </c>
      <c r="O52" s="21">
        <f t="shared" si="20"/>
        <v>1451138.6458052704</v>
      </c>
      <c r="P52" s="21">
        <f t="shared" si="20"/>
        <v>1462047.0321906433</v>
      </c>
      <c r="Q52" s="21">
        <f t="shared" si="20"/>
        <v>1472993.8010174064</v>
      </c>
      <c r="R52" s="21">
        <f>R27-R50</f>
        <v>6430571.0541168218</v>
      </c>
      <c r="S52" s="21">
        <f>S27-S50</f>
        <v>6478326.3179712193</v>
      </c>
      <c r="T52" s="21">
        <f>T27-T50</f>
        <v>6526234.1897422196</v>
      </c>
      <c r="U52" s="21">
        <f>U27-U50</f>
        <v>6574289.7568018492</v>
      </c>
      <c r="V52" s="21">
        <f>V27-V50</f>
        <v>6622487.9292190745</v>
      </c>
      <c r="W52" s="14"/>
      <c r="X52" s="14"/>
      <c r="Y52" s="14"/>
      <c r="Z52" s="14"/>
      <c r="AA52" s="14"/>
      <c r="AB52" s="14"/>
      <c r="AC52" s="14"/>
      <c r="AD52" s="14"/>
      <c r="AE52" s="14"/>
      <c r="AF52" s="14"/>
      <c r="AG52" s="14"/>
      <c r="AH52" s="14"/>
      <c r="AI52" s="14"/>
      <c r="AJ52" s="14"/>
      <c r="AK52" s="14"/>
      <c r="AL52" s="14"/>
      <c r="AM52" s="14"/>
      <c r="AN52" s="14"/>
      <c r="AO52" s="14"/>
      <c r="AP52" s="14"/>
      <c r="AQ52" s="14"/>
    </row>
    <row r="53" spans="1:43" x14ac:dyDescent="0.2">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row>
    <row r="54" spans="1:43" x14ac:dyDescent="0.2">
      <c r="A54" s="35" t="s">
        <v>41</v>
      </c>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spans="1:43" x14ac:dyDescent="0.2">
      <c r="A55" s="27" t="s">
        <v>42</v>
      </c>
      <c r="B55" s="46">
        <f>IRR(B52:V52)</f>
        <v>9.0367418525082899E-2</v>
      </c>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spans="1:43" x14ac:dyDescent="0.2">
      <c r="A56" s="29" t="s">
        <v>43</v>
      </c>
      <c r="B56" s="47">
        <f>NPV(B11,C52:V52)+B52</f>
        <v>2061171.4965543225</v>
      </c>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row>
    <row r="57" spans="1:43" x14ac:dyDescent="0.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row>
    <row r="58" spans="1:43" x14ac:dyDescent="0.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spans="1:43" x14ac:dyDescent="0.2">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row>
    <row r="60" spans="1:43"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row>
    <row r="61" spans="1:43"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row>
    <row r="62" spans="1:43" x14ac:dyDescent="0.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row>
    <row r="63" spans="1:43" x14ac:dyDescent="0.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row>
    <row r="64" spans="1:43" x14ac:dyDescent="0.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row>
    <row r="65" spans="1:43" x14ac:dyDescent="0.2">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row>
    <row r="66" spans="1:43" x14ac:dyDescent="0.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row>
    <row r="67" spans="1:43" x14ac:dyDescent="0.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row>
    <row r="68" spans="1:43" x14ac:dyDescent="0.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row>
    <row r="69" spans="1:43" x14ac:dyDescent="0.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row>
    <row r="70" spans="1:43" x14ac:dyDescent="0.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row>
    <row r="71" spans="1:43" x14ac:dyDescent="0.2">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row>
    <row r="72" spans="1:43" x14ac:dyDescent="0.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spans="1:43" x14ac:dyDescent="0.2">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row>
    <row r="74" spans="1:43" x14ac:dyDescent="0.2">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row>
    <row r="75" spans="1:43"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spans="1:43" x14ac:dyDescent="0.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spans="1:43" x14ac:dyDescent="0.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row r="78" spans="1:43" x14ac:dyDescent="0.2">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row>
    <row r="79" spans="1:43" x14ac:dyDescent="0.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row>
    <row r="80" spans="1:43" x14ac:dyDescent="0.2">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row>
    <row r="81" spans="1:43" x14ac:dyDescent="0.2">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row>
    <row r="82" spans="1:43"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row>
    <row r="83" spans="1:43" x14ac:dyDescent="0.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row>
    <row r="84" spans="1:43" x14ac:dyDescent="0.2">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row>
    <row r="85" spans="1:43" x14ac:dyDescent="0.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x14ac:dyDescent="0.2">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row>
    <row r="87" spans="1:43"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row>
    <row r="88" spans="1:43" x14ac:dyDescent="0.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row>
    <row r="89" spans="1:43"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spans="1:43"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row>
    <row r="91" spans="1:43"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row>
    <row r="92" spans="1:43" x14ac:dyDescent="0.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row>
    <row r="93" spans="1:43" x14ac:dyDescent="0.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row>
    <row r="94" spans="1:43"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row>
    <row r="95" spans="1:43"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row>
    <row r="96" spans="1:43"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row>
    <row r="97" spans="1:43"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row>
    <row r="99" spans="1:43"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row>
    <row r="100" spans="1:43"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row>
    <row r="101" spans="1:43"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spans="1:43"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row>
    <row r="103" spans="1:43"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row>
    <row r="104" spans="1:43"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row>
    <row r="105" spans="1:43"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row>
    <row r="106" spans="1:43"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row>
    <row r="107" spans="1:43"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row>
    <row r="108" spans="1:43"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row>
    <row r="109" spans="1:43"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row>
    <row r="110" spans="1:43"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row>
    <row r="111" spans="1:43"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row>
    <row r="112" spans="1:43"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row>
    <row r="113" spans="1:43"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row>
    <row r="114" spans="1:43"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row>
    <row r="115" spans="1:43"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row>
    <row r="116" spans="1:43"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row>
    <row r="117" spans="1:43"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row>
    <row r="118" spans="1:43"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row>
    <row r="119" spans="1:43"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row>
    <row r="120" spans="1:43"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row>
    <row r="121" spans="1:43"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row>
    <row r="122" spans="1:43"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row>
    <row r="123" spans="1:43"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row>
    <row r="124" spans="1:43"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row>
    <row r="125" spans="1:43"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row>
    <row r="126" spans="1:43"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row>
    <row r="127" spans="1:43"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row>
    <row r="128" spans="1:43"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row>
    <row r="129" spans="1:43"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row>
    <row r="130" spans="1:43"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row>
    <row r="131" spans="1:43"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row>
    <row r="132" spans="1:43"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row>
    <row r="133" spans="1:43"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row>
    <row r="134" spans="1:43"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row>
    <row r="135" spans="1:43"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row>
    <row r="136" spans="1:43"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row>
    <row r="137" spans="1:43"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row>
    <row r="138" spans="1:43"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row>
    <row r="139" spans="1:43"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row>
    <row r="140" spans="1:43"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row>
    <row r="141" spans="1:43"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row>
    <row r="142" spans="1:43"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row>
    <row r="143" spans="1:43"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row>
    <row r="144" spans="1:43"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row>
    <row r="145" spans="1:43"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row>
    <row r="146" spans="1:43" x14ac:dyDescent="0.2">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row>
    <row r="147" spans="1:43" x14ac:dyDescent="0.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row>
    <row r="148" spans="1:43" x14ac:dyDescent="0.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row>
    <row r="149" spans="1:43" x14ac:dyDescent="0.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row>
    <row r="150" spans="1:43"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row>
    <row r="151" spans="1:43" x14ac:dyDescent="0.2">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row>
    <row r="152" spans="1:43" x14ac:dyDescent="0.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row>
    <row r="153" spans="1:43" x14ac:dyDescent="0.2">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row>
    <row r="154" spans="1:43" x14ac:dyDescent="0.2">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714E-E501-4C4E-B624-BF651CC363B2}">
  <dimension ref="A1:AQ154"/>
  <sheetViews>
    <sheetView tabSelected="1" zoomScale="88" zoomScaleNormal="88" workbookViewId="0">
      <pane xSplit="2" ySplit="11" topLeftCell="C12" activePane="bottomRight" state="frozen"/>
      <selection pane="topRight" activeCell="C1" sqref="C1"/>
      <selection pane="bottomLeft" activeCell="A12" sqref="A12"/>
      <selection pane="bottomRight" activeCell="I9" sqref="I9"/>
    </sheetView>
  </sheetViews>
  <sheetFormatPr baseColWidth="10" defaultRowHeight="16" x14ac:dyDescent="0.2"/>
  <cols>
    <col min="1" max="1" width="24.33203125" customWidth="1"/>
    <col min="2" max="2" width="17" customWidth="1"/>
    <col min="3" max="3" width="17.1640625" bestFit="1" customWidth="1"/>
    <col min="4" max="4" width="15.1640625" customWidth="1"/>
    <col min="5" max="5" width="16" customWidth="1"/>
    <col min="6" max="6" width="16.6640625" customWidth="1"/>
    <col min="7" max="7" width="15.5" customWidth="1"/>
    <col min="8" max="8" width="14.33203125" customWidth="1"/>
    <col min="9" max="9" width="15.5" customWidth="1"/>
    <col min="10" max="10" width="15.33203125" customWidth="1"/>
    <col min="11" max="11" width="16.5" customWidth="1"/>
    <col min="12" max="12" width="15" customWidth="1"/>
    <col min="13" max="13" width="16" customWidth="1"/>
    <col min="14" max="14" width="16.6640625" customWidth="1"/>
    <col min="15" max="15" width="16.33203125" customWidth="1"/>
    <col min="16" max="16" width="15" customWidth="1"/>
    <col min="17" max="17" width="16" customWidth="1"/>
    <col min="18" max="18" width="18.6640625" customWidth="1"/>
    <col min="19" max="19" width="15.6640625" customWidth="1"/>
    <col min="20" max="21" width="15.83203125" customWidth="1"/>
    <col min="22" max="22" width="17.6640625" customWidth="1"/>
  </cols>
  <sheetData>
    <row r="1" spans="1:43" ht="34" x14ac:dyDescent="0.2">
      <c r="A1" s="1" t="s">
        <v>0</v>
      </c>
      <c r="E1" s="12" t="s">
        <v>11</v>
      </c>
      <c r="H1" s="50" t="s">
        <v>57</v>
      </c>
      <c r="I1" s="49"/>
      <c r="K1" s="55" t="s">
        <v>59</v>
      </c>
    </row>
    <row r="2" spans="1:43" x14ac:dyDescent="0.2">
      <c r="A2" s="2" t="s">
        <v>1</v>
      </c>
      <c r="B2" s="3">
        <v>100</v>
      </c>
      <c r="C2" s="48"/>
      <c r="E2" s="2" t="s">
        <v>12</v>
      </c>
      <c r="F2" s="39">
        <v>1.3</v>
      </c>
      <c r="H2" s="51" t="s">
        <v>55</v>
      </c>
      <c r="I2" s="52">
        <v>15</v>
      </c>
      <c r="K2" s="56" t="s">
        <v>60</v>
      </c>
      <c r="L2" s="58">
        <v>0.3</v>
      </c>
    </row>
    <row r="3" spans="1:43" ht="31" x14ac:dyDescent="0.2">
      <c r="A3" s="4" t="s">
        <v>2</v>
      </c>
      <c r="B3" s="5">
        <v>0.25</v>
      </c>
      <c r="E3" s="4" t="s">
        <v>13</v>
      </c>
      <c r="F3" s="5" t="s">
        <v>49</v>
      </c>
      <c r="H3" s="53" t="s">
        <v>56</v>
      </c>
      <c r="I3" s="54">
        <v>30</v>
      </c>
      <c r="K3" s="57" t="s">
        <v>61</v>
      </c>
      <c r="L3" s="11">
        <f>B2*B9*L2</f>
        <v>30000000</v>
      </c>
    </row>
    <row r="4" spans="1:43" x14ac:dyDescent="0.2">
      <c r="A4" s="4" t="s">
        <v>3</v>
      </c>
      <c r="B4" s="6">
        <v>5.0000000000000001E-3</v>
      </c>
      <c r="E4" s="4" t="s">
        <v>14</v>
      </c>
      <c r="F4" s="5">
        <v>0.06</v>
      </c>
      <c r="H4" s="49"/>
      <c r="I4" s="49"/>
      <c r="J4" s="49"/>
      <c r="K4" s="49"/>
    </row>
    <row r="5" spans="1:43" x14ac:dyDescent="0.2">
      <c r="A5" s="4" t="s">
        <v>4</v>
      </c>
      <c r="B5" s="7">
        <v>40</v>
      </c>
      <c r="C5" s="19"/>
      <c r="E5" s="9" t="s">
        <v>15</v>
      </c>
      <c r="F5" s="11">
        <v>15</v>
      </c>
    </row>
    <row r="6" spans="1:43" x14ac:dyDescent="0.2">
      <c r="A6" s="4" t="s">
        <v>5</v>
      </c>
      <c r="B6" s="5">
        <v>1.4999999999999999E-2</v>
      </c>
    </row>
    <row r="7" spans="1:43" x14ac:dyDescent="0.2">
      <c r="A7" s="4" t="s">
        <v>6</v>
      </c>
      <c r="B7" s="8">
        <v>15000</v>
      </c>
    </row>
    <row r="8" spans="1:43" x14ac:dyDescent="0.2">
      <c r="A8" s="4" t="s">
        <v>7</v>
      </c>
      <c r="B8" s="5">
        <v>0.02</v>
      </c>
    </row>
    <row r="9" spans="1:43" x14ac:dyDescent="0.2">
      <c r="A9" s="4" t="s">
        <v>8</v>
      </c>
      <c r="B9" s="8">
        <v>1000000</v>
      </c>
    </row>
    <row r="10" spans="1:43" x14ac:dyDescent="0.2">
      <c r="A10" s="4" t="s">
        <v>9</v>
      </c>
      <c r="B10" s="5">
        <v>0.21</v>
      </c>
    </row>
    <row r="11" spans="1:43" x14ac:dyDescent="0.2">
      <c r="A11" s="9" t="s">
        <v>10</v>
      </c>
      <c r="B11" s="10">
        <v>0.08</v>
      </c>
    </row>
    <row r="12" spans="1:43"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row>
    <row r="13" spans="1:43" ht="19" x14ac:dyDescent="0.25">
      <c r="A13" s="15" t="s">
        <v>16</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row>
    <row r="14" spans="1:43" x14ac:dyDescent="0.2">
      <c r="A14" s="16" t="s">
        <v>17</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row>
    <row r="15" spans="1:43" x14ac:dyDescent="0.2">
      <c r="A15" s="17" t="s">
        <v>18</v>
      </c>
      <c r="B15" s="22">
        <v>0</v>
      </c>
      <c r="C15" s="22">
        <f>B15+1</f>
        <v>1</v>
      </c>
      <c r="D15" s="22">
        <f>C15+1</f>
        <v>2</v>
      </c>
      <c r="E15" s="22">
        <f t="shared" ref="E15:U15" si="0">D15+1</f>
        <v>3</v>
      </c>
      <c r="F15" s="23">
        <f t="shared" si="0"/>
        <v>4</v>
      </c>
      <c r="G15" s="23">
        <f t="shared" si="0"/>
        <v>5</v>
      </c>
      <c r="H15" s="22">
        <f t="shared" si="0"/>
        <v>6</v>
      </c>
      <c r="I15" s="22">
        <f t="shared" si="0"/>
        <v>7</v>
      </c>
      <c r="J15" s="22">
        <f t="shared" si="0"/>
        <v>8</v>
      </c>
      <c r="K15" s="22">
        <f t="shared" si="0"/>
        <v>9</v>
      </c>
      <c r="L15" s="22">
        <f t="shared" si="0"/>
        <v>10</v>
      </c>
      <c r="M15" s="22">
        <f t="shared" si="0"/>
        <v>11</v>
      </c>
      <c r="N15" s="22">
        <f t="shared" si="0"/>
        <v>12</v>
      </c>
      <c r="O15" s="22">
        <f t="shared" si="0"/>
        <v>13</v>
      </c>
      <c r="P15" s="22">
        <f t="shared" si="0"/>
        <v>14</v>
      </c>
      <c r="Q15" s="22">
        <f t="shared" si="0"/>
        <v>15</v>
      </c>
      <c r="R15" s="22">
        <f t="shared" si="0"/>
        <v>16</v>
      </c>
      <c r="S15" s="22">
        <f t="shared" si="0"/>
        <v>17</v>
      </c>
      <c r="T15" s="22">
        <f t="shared" si="0"/>
        <v>18</v>
      </c>
      <c r="U15" s="22">
        <f t="shared" si="0"/>
        <v>19</v>
      </c>
      <c r="V15" s="22">
        <f>U15+1</f>
        <v>20</v>
      </c>
      <c r="W15" s="14"/>
      <c r="X15" s="14"/>
      <c r="Y15" s="14"/>
      <c r="Z15" s="14"/>
      <c r="AA15" s="14"/>
      <c r="AB15" s="14"/>
      <c r="AC15" s="14"/>
      <c r="AD15" s="14"/>
      <c r="AE15" s="14"/>
      <c r="AF15" s="14"/>
      <c r="AG15" s="14"/>
      <c r="AH15" s="14"/>
      <c r="AI15" s="14"/>
      <c r="AJ15" s="14"/>
      <c r="AK15" s="14"/>
      <c r="AL15" s="14"/>
      <c r="AM15" s="14"/>
      <c r="AN15" s="14"/>
      <c r="AO15" s="14"/>
      <c r="AP15" s="14"/>
      <c r="AQ15" s="14"/>
    </row>
    <row r="16" spans="1:43" x14ac:dyDescent="0.2">
      <c r="A16" s="14" t="s">
        <v>19</v>
      </c>
      <c r="B16" s="14"/>
      <c r="C16" s="13">
        <f>1</f>
        <v>1</v>
      </c>
      <c r="D16" s="24">
        <f>C16*(1-$B$4)</f>
        <v>0.995</v>
      </c>
      <c r="E16" s="24">
        <f t="shared" ref="E16:V16" si="1">D16*(1-$B$4)</f>
        <v>0.99002500000000004</v>
      </c>
      <c r="F16" s="24">
        <f t="shared" si="1"/>
        <v>0.98507487500000002</v>
      </c>
      <c r="G16" s="24">
        <f t="shared" si="1"/>
        <v>0.98014950062500006</v>
      </c>
      <c r="H16" s="24">
        <f t="shared" si="1"/>
        <v>0.97524875312187509</v>
      </c>
      <c r="I16" s="24">
        <f t="shared" si="1"/>
        <v>0.97037250935626573</v>
      </c>
      <c r="J16" s="24">
        <f t="shared" si="1"/>
        <v>0.96552064680948435</v>
      </c>
      <c r="K16" s="24">
        <f t="shared" si="1"/>
        <v>0.96069304357543694</v>
      </c>
      <c r="L16" s="24">
        <f t="shared" si="1"/>
        <v>0.95588957835755972</v>
      </c>
      <c r="M16" s="24">
        <f t="shared" si="1"/>
        <v>0.95111013046577186</v>
      </c>
      <c r="N16" s="24">
        <f t="shared" si="1"/>
        <v>0.94635457981344295</v>
      </c>
      <c r="O16" s="24">
        <f t="shared" si="1"/>
        <v>0.94162280691437572</v>
      </c>
      <c r="P16" s="24">
        <f t="shared" si="1"/>
        <v>0.93691469287980389</v>
      </c>
      <c r="Q16" s="24">
        <f t="shared" si="1"/>
        <v>0.9322301194154049</v>
      </c>
      <c r="R16" s="24">
        <f t="shared" si="1"/>
        <v>0.92756896881832784</v>
      </c>
      <c r="S16" s="24">
        <f t="shared" si="1"/>
        <v>0.92293112397423616</v>
      </c>
      <c r="T16" s="24">
        <f t="shared" si="1"/>
        <v>0.91831646835436498</v>
      </c>
      <c r="U16" s="24">
        <f t="shared" si="1"/>
        <v>0.91372488601259316</v>
      </c>
      <c r="V16" s="24">
        <f t="shared" si="1"/>
        <v>0.90915626158253016</v>
      </c>
      <c r="W16" s="14"/>
      <c r="X16" s="14"/>
      <c r="Y16" s="14"/>
      <c r="Z16" s="14"/>
      <c r="AA16" s="14"/>
      <c r="AB16" s="14"/>
      <c r="AC16" s="14"/>
      <c r="AD16" s="14"/>
      <c r="AE16" s="14"/>
      <c r="AF16" s="14"/>
      <c r="AG16" s="14"/>
      <c r="AH16" s="14"/>
      <c r="AI16" s="14"/>
      <c r="AJ16" s="14"/>
      <c r="AK16" s="14"/>
      <c r="AL16" s="14"/>
      <c r="AM16" s="14"/>
      <c r="AN16" s="14"/>
      <c r="AO16" s="14"/>
      <c r="AP16" s="14"/>
      <c r="AQ16" s="14"/>
    </row>
    <row r="17" spans="1:43" x14ac:dyDescent="0.2">
      <c r="A17" s="14" t="s">
        <v>20</v>
      </c>
      <c r="B17" s="14"/>
      <c r="C17" s="20">
        <f>$B$2*$B$3*8760*C16</f>
        <v>219000</v>
      </c>
      <c r="D17" s="20">
        <f>$B$2*$B$3*8760*D16</f>
        <v>217905</v>
      </c>
      <c r="E17" s="20">
        <f t="shared" ref="E17:V17" si="2">$B$2*$B$3*8760*E16</f>
        <v>216815.47500000001</v>
      </c>
      <c r="F17" s="20">
        <f t="shared" si="2"/>
        <v>215731.39762500001</v>
      </c>
      <c r="G17" s="20">
        <f t="shared" si="2"/>
        <v>214652.74063687501</v>
      </c>
      <c r="H17" s="20">
        <f t="shared" si="2"/>
        <v>213579.47693369063</v>
      </c>
      <c r="I17" s="20">
        <f t="shared" si="2"/>
        <v>212511.57954902219</v>
      </c>
      <c r="J17" s="20">
        <f t="shared" si="2"/>
        <v>211449.02165127709</v>
      </c>
      <c r="K17" s="20">
        <f>$B$2*$B$3*8760*K16</f>
        <v>210391.77654302068</v>
      </c>
      <c r="L17" s="20">
        <f t="shared" si="2"/>
        <v>209339.81766030559</v>
      </c>
      <c r="M17" s="20">
        <f t="shared" si="2"/>
        <v>208293.11857200405</v>
      </c>
      <c r="N17" s="20">
        <f t="shared" si="2"/>
        <v>207251.65297914401</v>
      </c>
      <c r="O17" s="20">
        <f t="shared" si="2"/>
        <v>206215.39471424828</v>
      </c>
      <c r="P17" s="20">
        <f t="shared" si="2"/>
        <v>205184.31774067704</v>
      </c>
      <c r="Q17" s="20">
        <f t="shared" si="2"/>
        <v>204158.39615197366</v>
      </c>
      <c r="R17" s="20">
        <f t="shared" si="2"/>
        <v>203137.60417121381</v>
      </c>
      <c r="S17" s="20">
        <f t="shared" si="2"/>
        <v>202121.91615035772</v>
      </c>
      <c r="T17" s="20">
        <f t="shared" si="2"/>
        <v>201111.30656960592</v>
      </c>
      <c r="U17" s="20">
        <f t="shared" si="2"/>
        <v>200105.75003675791</v>
      </c>
      <c r="V17" s="20">
        <f t="shared" si="2"/>
        <v>199105.22128657412</v>
      </c>
      <c r="W17" s="14"/>
      <c r="X17" s="14"/>
      <c r="Y17" s="14"/>
      <c r="Z17" s="14"/>
      <c r="AA17" s="14"/>
      <c r="AB17" s="14"/>
      <c r="AC17" s="14"/>
      <c r="AD17" s="14"/>
      <c r="AE17" s="14"/>
      <c r="AF17" s="14"/>
      <c r="AG17" s="14"/>
      <c r="AH17" s="14"/>
      <c r="AI17" s="14"/>
      <c r="AJ17" s="14"/>
      <c r="AK17" s="14"/>
      <c r="AL17" s="14"/>
      <c r="AM17" s="14"/>
      <c r="AN17" s="14"/>
      <c r="AO17" s="14"/>
      <c r="AP17" s="14"/>
      <c r="AQ17" s="14"/>
    </row>
    <row r="18" spans="1:43" x14ac:dyDescent="0.2">
      <c r="A18" s="14" t="s">
        <v>4</v>
      </c>
      <c r="B18" s="14"/>
      <c r="C18" s="14">
        <f>B5</f>
        <v>40</v>
      </c>
      <c r="D18" s="14">
        <f>IF(D15&lt;=$I$2,C18*(1+$B$6),$I$3)</f>
        <v>40.599999999999994</v>
      </c>
      <c r="E18" s="14">
        <f t="shared" ref="E18:V18" si="3">IF(E15&lt;=$I$2,D18*(1+$B$6),$I$3)</f>
        <v>41.208999999999989</v>
      </c>
      <c r="F18" s="14">
        <f t="shared" si="3"/>
        <v>41.827134999999984</v>
      </c>
      <c r="G18" s="14">
        <f t="shared" si="3"/>
        <v>42.454542024999981</v>
      </c>
      <c r="H18" s="14">
        <f t="shared" si="3"/>
        <v>43.091360155374979</v>
      </c>
      <c r="I18" s="14">
        <f t="shared" si="3"/>
        <v>43.737730557705596</v>
      </c>
      <c r="J18" s="14">
        <f t="shared" si="3"/>
        <v>44.393796516071177</v>
      </c>
      <c r="K18" s="14">
        <f t="shared" si="3"/>
        <v>45.059703463812241</v>
      </c>
      <c r="L18" s="14">
        <f t="shared" si="3"/>
        <v>45.735599015769424</v>
      </c>
      <c r="M18" s="14">
        <f t="shared" si="3"/>
        <v>46.421633001005958</v>
      </c>
      <c r="N18" s="14">
        <f t="shared" si="3"/>
        <v>47.117957496021042</v>
      </c>
      <c r="O18" s="14">
        <f t="shared" si="3"/>
        <v>47.824726858461354</v>
      </c>
      <c r="P18" s="14">
        <f t="shared" si="3"/>
        <v>48.542097761338269</v>
      </c>
      <c r="Q18" s="14">
        <f t="shared" si="3"/>
        <v>49.270229227758335</v>
      </c>
      <c r="R18" s="14">
        <f t="shared" si="3"/>
        <v>30</v>
      </c>
      <c r="S18" s="14">
        <f t="shared" si="3"/>
        <v>30</v>
      </c>
      <c r="T18" s="14">
        <f t="shared" si="3"/>
        <v>30</v>
      </c>
      <c r="U18" s="14">
        <f t="shared" si="3"/>
        <v>30</v>
      </c>
      <c r="V18" s="14">
        <f t="shared" si="3"/>
        <v>30</v>
      </c>
      <c r="W18" s="14"/>
      <c r="X18" s="14"/>
      <c r="Y18" s="14"/>
      <c r="Z18" s="14"/>
      <c r="AA18" s="14"/>
      <c r="AB18" s="14"/>
      <c r="AC18" s="14"/>
      <c r="AD18" s="14"/>
      <c r="AE18" s="14"/>
      <c r="AF18" s="14"/>
      <c r="AG18" s="14"/>
      <c r="AH18" s="14"/>
      <c r="AI18" s="14"/>
      <c r="AJ18" s="14"/>
      <c r="AK18" s="14"/>
      <c r="AL18" s="14"/>
      <c r="AM18" s="14"/>
      <c r="AN18" s="14"/>
      <c r="AO18" s="14"/>
      <c r="AP18" s="14"/>
      <c r="AQ18" s="14"/>
    </row>
    <row r="19" spans="1:43" x14ac:dyDescent="0.2">
      <c r="A19" s="14" t="s">
        <v>21</v>
      </c>
      <c r="B19" s="14"/>
      <c r="C19" s="18">
        <f>C17*C18</f>
        <v>8760000</v>
      </c>
      <c r="D19" s="18">
        <f>D17*D18</f>
        <v>8846942.9999999981</v>
      </c>
      <c r="E19" s="18">
        <f>E17*E18</f>
        <v>8934748.9092749972</v>
      </c>
      <c r="F19" s="18">
        <f t="shared" ref="F19:V19" si="4">F17*F18</f>
        <v>9023426.2921995521</v>
      </c>
      <c r="G19" s="18">
        <f t="shared" si="4"/>
        <v>9112983.7981496304</v>
      </c>
      <c r="H19" s="18">
        <f t="shared" si="4"/>
        <v>9203430.1623462662</v>
      </c>
      <c r="I19" s="18">
        <f t="shared" si="4"/>
        <v>9294774.2067075521</v>
      </c>
      <c r="J19" s="18">
        <f t="shared" si="4"/>
        <v>9387024.8407091238</v>
      </c>
      <c r="K19" s="18">
        <f t="shared" si="4"/>
        <v>9480191.0622531604</v>
      </c>
      <c r="L19" s="18">
        <f t="shared" si="4"/>
        <v>9574281.9585460238</v>
      </c>
      <c r="M19" s="18">
        <f t="shared" si="4"/>
        <v>9669306.7069845907</v>
      </c>
      <c r="N19" s="18">
        <f t="shared" si="4"/>
        <v>9765274.5760514103</v>
      </c>
      <c r="O19" s="18">
        <f t="shared" si="4"/>
        <v>9862194.9262187183</v>
      </c>
      <c r="P19" s="18">
        <f t="shared" si="4"/>
        <v>9960077.2108614389</v>
      </c>
      <c r="Q19" s="18">
        <f t="shared" si="4"/>
        <v>10058930.977179237</v>
      </c>
      <c r="R19" s="18">
        <f t="shared" si="4"/>
        <v>6094128.1251364145</v>
      </c>
      <c r="S19" s="18">
        <f t="shared" si="4"/>
        <v>6063657.4845107319</v>
      </c>
      <c r="T19" s="18">
        <f t="shared" si="4"/>
        <v>6033339.1970881773</v>
      </c>
      <c r="U19" s="18">
        <f t="shared" si="4"/>
        <v>6003172.5011027372</v>
      </c>
      <c r="V19" s="18">
        <f t="shared" si="4"/>
        <v>5973156.6385972239</v>
      </c>
      <c r="W19" s="14"/>
      <c r="X19" s="14"/>
      <c r="Y19" s="14"/>
      <c r="Z19" s="14"/>
      <c r="AA19" s="14"/>
      <c r="AB19" s="14"/>
      <c r="AC19" s="14"/>
      <c r="AD19" s="14"/>
      <c r="AE19" s="14"/>
      <c r="AF19" s="14"/>
      <c r="AG19" s="14"/>
      <c r="AH19" s="14"/>
      <c r="AI19" s="14"/>
      <c r="AJ19" s="14"/>
      <c r="AK19" s="14"/>
      <c r="AL19" s="14"/>
      <c r="AM19" s="14"/>
      <c r="AN19" s="14"/>
      <c r="AO19" s="14"/>
      <c r="AP19" s="14"/>
      <c r="AQ19" s="14"/>
    </row>
    <row r="20" spans="1:43" x14ac:dyDescent="0.2">
      <c r="A20" s="14" t="s">
        <v>22</v>
      </c>
      <c r="B20" s="14"/>
      <c r="C20" s="18">
        <f>B7*B2</f>
        <v>1500000</v>
      </c>
      <c r="D20" s="18">
        <f>C20*(1+$B$8)</f>
        <v>1530000</v>
      </c>
      <c r="E20" s="18">
        <f t="shared" ref="E20:V20" si="5">D20*(1+$B$8)</f>
        <v>1560600</v>
      </c>
      <c r="F20" s="18">
        <f t="shared" si="5"/>
        <v>1591812</v>
      </c>
      <c r="G20" s="18">
        <f t="shared" si="5"/>
        <v>1623648.24</v>
      </c>
      <c r="H20" s="18">
        <f t="shared" si="5"/>
        <v>1656121.2047999999</v>
      </c>
      <c r="I20" s="18">
        <f t="shared" si="5"/>
        <v>1689243.6288959999</v>
      </c>
      <c r="J20" s="18">
        <f t="shared" si="5"/>
        <v>1723028.50147392</v>
      </c>
      <c r="K20" s="18">
        <f t="shared" si="5"/>
        <v>1757489.0715033985</v>
      </c>
      <c r="L20" s="18">
        <f t="shared" si="5"/>
        <v>1792638.8529334664</v>
      </c>
      <c r="M20" s="18">
        <f t="shared" si="5"/>
        <v>1828491.6299921358</v>
      </c>
      <c r="N20" s="18">
        <f t="shared" si="5"/>
        <v>1865061.4625919785</v>
      </c>
      <c r="O20" s="18">
        <f t="shared" si="5"/>
        <v>1902362.6918438182</v>
      </c>
      <c r="P20" s="18">
        <f t="shared" si="5"/>
        <v>1940409.9456806947</v>
      </c>
      <c r="Q20" s="18">
        <f t="shared" si="5"/>
        <v>1979218.1445943087</v>
      </c>
      <c r="R20" s="18">
        <f t="shared" si="5"/>
        <v>2018802.5074861948</v>
      </c>
      <c r="S20" s="18">
        <f t="shared" si="5"/>
        <v>2059178.5576359187</v>
      </c>
      <c r="T20" s="18">
        <f t="shared" si="5"/>
        <v>2100362.128788637</v>
      </c>
      <c r="U20" s="18">
        <f t="shared" si="5"/>
        <v>2142369.3713644096</v>
      </c>
      <c r="V20" s="18">
        <f t="shared" si="5"/>
        <v>2185216.7587916977</v>
      </c>
      <c r="W20" s="14"/>
      <c r="X20" s="14"/>
      <c r="Y20" s="14"/>
      <c r="Z20" s="14"/>
      <c r="AA20" s="14"/>
      <c r="AB20" s="14"/>
      <c r="AC20" s="14"/>
      <c r="AD20" s="14"/>
      <c r="AE20" s="14"/>
      <c r="AF20" s="14"/>
      <c r="AG20" s="14"/>
      <c r="AH20" s="14"/>
      <c r="AI20" s="14"/>
      <c r="AJ20" s="14"/>
      <c r="AK20" s="14"/>
      <c r="AL20" s="14"/>
      <c r="AM20" s="14"/>
      <c r="AN20" s="14"/>
      <c r="AO20" s="14"/>
      <c r="AP20" s="14"/>
      <c r="AQ20" s="14"/>
    </row>
    <row r="21" spans="1:43" x14ac:dyDescent="0.2">
      <c r="A21" s="16" t="s">
        <v>23</v>
      </c>
      <c r="B21" s="16"/>
      <c r="C21" s="21">
        <f>C19-C20</f>
        <v>7260000</v>
      </c>
      <c r="D21" s="21">
        <f>D19-D20</f>
        <v>7316942.9999999981</v>
      </c>
      <c r="E21" s="21">
        <f t="shared" ref="E21:V21" si="6">E19-E20</f>
        <v>7374148.9092749972</v>
      </c>
      <c r="F21" s="21">
        <f t="shared" si="6"/>
        <v>7431614.2921995521</v>
      </c>
      <c r="G21" s="21">
        <f t="shared" si="6"/>
        <v>7489335.5581496302</v>
      </c>
      <c r="H21" s="21">
        <f t="shared" si="6"/>
        <v>7547308.9575462658</v>
      </c>
      <c r="I21" s="21">
        <f t="shared" si="6"/>
        <v>7605530.5778115522</v>
      </c>
      <c r="J21" s="21">
        <f t="shared" si="6"/>
        <v>7663996.3392352033</v>
      </c>
      <c r="K21" s="21">
        <f t="shared" si="6"/>
        <v>7722701.9907497615</v>
      </c>
      <c r="L21" s="21">
        <f t="shared" si="6"/>
        <v>7781643.1056125574</v>
      </c>
      <c r="M21" s="21">
        <f t="shared" si="6"/>
        <v>7840815.0769924549</v>
      </c>
      <c r="N21" s="21">
        <f t="shared" si="6"/>
        <v>7900213.1134594316</v>
      </c>
      <c r="O21" s="21">
        <f t="shared" si="6"/>
        <v>7959832.2343749003</v>
      </c>
      <c r="P21" s="21">
        <f t="shared" si="6"/>
        <v>8019667.2651807442</v>
      </c>
      <c r="Q21" s="21">
        <f t="shared" si="6"/>
        <v>8079712.8325849278</v>
      </c>
      <c r="R21" s="21">
        <f t="shared" si="6"/>
        <v>4075325.6176502197</v>
      </c>
      <c r="S21" s="21">
        <f t="shared" si="6"/>
        <v>4004478.9268748132</v>
      </c>
      <c r="T21" s="21">
        <f t="shared" si="6"/>
        <v>3932977.0682995403</v>
      </c>
      <c r="U21" s="21">
        <f t="shared" si="6"/>
        <v>3860803.1297383276</v>
      </c>
      <c r="V21" s="21">
        <f t="shared" si="6"/>
        <v>3787939.8798055262</v>
      </c>
      <c r="W21" s="14"/>
      <c r="X21" s="14"/>
      <c r="Y21" s="14"/>
      <c r="Z21" s="14"/>
      <c r="AA21" s="14"/>
      <c r="AB21" s="14"/>
      <c r="AC21" s="14"/>
      <c r="AD21" s="14"/>
      <c r="AE21" s="14"/>
      <c r="AF21" s="14"/>
      <c r="AG21" s="14"/>
      <c r="AH21" s="14"/>
      <c r="AI21" s="14"/>
      <c r="AJ21" s="14"/>
      <c r="AK21" s="14"/>
      <c r="AL21" s="14"/>
      <c r="AM21" s="14"/>
      <c r="AN21" s="14"/>
      <c r="AO21" s="14"/>
      <c r="AP21" s="14"/>
      <c r="AQ21" s="14"/>
    </row>
    <row r="22" spans="1:43" x14ac:dyDescent="0.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x14ac:dyDescent="0.2">
      <c r="A23" s="14" t="s">
        <v>26</v>
      </c>
      <c r="B23" s="18">
        <f>-(B9*B2)</f>
        <v>-100000000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4"/>
      <c r="X23" s="14"/>
      <c r="Y23" s="14"/>
      <c r="Z23" s="14"/>
      <c r="AA23" s="14"/>
      <c r="AB23" s="14"/>
      <c r="AC23" s="14"/>
      <c r="AD23" s="14"/>
      <c r="AE23" s="14"/>
      <c r="AF23" s="14"/>
      <c r="AG23" s="14"/>
      <c r="AH23" s="14"/>
      <c r="AI23" s="14"/>
      <c r="AJ23" s="14"/>
      <c r="AK23" s="14"/>
      <c r="AL23" s="14"/>
      <c r="AM23" s="14"/>
      <c r="AN23" s="14"/>
      <c r="AO23" s="14"/>
      <c r="AP23" s="14"/>
      <c r="AQ23" s="14"/>
    </row>
    <row r="24" spans="1:43" x14ac:dyDescent="0.2">
      <c r="A24" s="14" t="s">
        <v>25</v>
      </c>
      <c r="B24" s="26"/>
      <c r="C24" s="18">
        <f>$B$41*C39</f>
        <v>17000000</v>
      </c>
      <c r="D24" s="18">
        <f>$B$41*D39</f>
        <v>27200000</v>
      </c>
      <c r="E24" s="18">
        <f>$B$41*E39</f>
        <v>16320000</v>
      </c>
      <c r="F24" s="18">
        <f>$B$41*F39</f>
        <v>9792000</v>
      </c>
      <c r="G24" s="18">
        <f t="shared" ref="D24:V24" si="7">$B$41*G39</f>
        <v>9792000</v>
      </c>
      <c r="H24" s="18">
        <f t="shared" si="7"/>
        <v>4896000</v>
      </c>
      <c r="I24" s="18">
        <f t="shared" si="7"/>
        <v>0</v>
      </c>
      <c r="J24" s="18">
        <f t="shared" si="7"/>
        <v>0</v>
      </c>
      <c r="K24" s="18">
        <f t="shared" si="7"/>
        <v>0</v>
      </c>
      <c r="L24" s="18">
        <f t="shared" si="7"/>
        <v>0</v>
      </c>
      <c r="M24" s="18">
        <f t="shared" si="7"/>
        <v>0</v>
      </c>
      <c r="N24" s="18">
        <f t="shared" si="7"/>
        <v>0</v>
      </c>
      <c r="O24" s="18">
        <f t="shared" si="7"/>
        <v>0</v>
      </c>
      <c r="P24" s="18">
        <f t="shared" si="7"/>
        <v>0</v>
      </c>
      <c r="Q24" s="18">
        <f t="shared" si="7"/>
        <v>0</v>
      </c>
      <c r="R24" s="18">
        <f t="shared" si="7"/>
        <v>0</v>
      </c>
      <c r="S24" s="18">
        <f t="shared" si="7"/>
        <v>0</v>
      </c>
      <c r="T24" s="18">
        <f t="shared" si="7"/>
        <v>0</v>
      </c>
      <c r="U24" s="18">
        <f t="shared" si="7"/>
        <v>0</v>
      </c>
      <c r="V24" s="18">
        <f t="shared" si="7"/>
        <v>0</v>
      </c>
      <c r="W24" s="14"/>
      <c r="X24" s="14"/>
      <c r="Y24" s="14"/>
      <c r="Z24" s="14"/>
      <c r="AA24" s="14"/>
      <c r="AB24" s="14"/>
      <c r="AC24" s="14"/>
      <c r="AD24" s="14"/>
      <c r="AE24" s="14"/>
      <c r="AF24" s="14"/>
      <c r="AG24" s="14"/>
      <c r="AH24" s="14"/>
      <c r="AI24" s="14"/>
      <c r="AJ24" s="14"/>
      <c r="AK24" s="14"/>
      <c r="AL24" s="14"/>
      <c r="AM24" s="14"/>
      <c r="AN24" s="14"/>
      <c r="AO24" s="14"/>
      <c r="AP24" s="14"/>
      <c r="AQ24" s="14"/>
    </row>
    <row r="25" spans="1:43" x14ac:dyDescent="0.2">
      <c r="A25" s="14" t="s">
        <v>24</v>
      </c>
      <c r="B25" s="26"/>
      <c r="C25" s="18">
        <f>C21-C24</f>
        <v>-9740000</v>
      </c>
      <c r="D25" s="18">
        <f>D21-D24</f>
        <v>-19883057</v>
      </c>
      <c r="E25" s="18">
        <f t="shared" ref="D25:V25" si="8">E21-E24</f>
        <v>-8945851.0907250028</v>
      </c>
      <c r="F25" s="18">
        <f t="shared" si="8"/>
        <v>-2360385.7078004479</v>
      </c>
      <c r="G25" s="18">
        <f t="shared" si="8"/>
        <v>-2302664.4418503698</v>
      </c>
      <c r="H25" s="18">
        <f t="shared" si="8"/>
        <v>2651308.9575462658</v>
      </c>
      <c r="I25" s="18">
        <f t="shared" si="8"/>
        <v>7605530.5778115522</v>
      </c>
      <c r="J25" s="18">
        <f t="shared" si="8"/>
        <v>7663996.3392352033</v>
      </c>
      <c r="K25" s="18">
        <f t="shared" si="8"/>
        <v>7722701.9907497615</v>
      </c>
      <c r="L25" s="18">
        <f t="shared" si="8"/>
        <v>7781643.1056125574</v>
      </c>
      <c r="M25" s="18">
        <f t="shared" si="8"/>
        <v>7840815.0769924549</v>
      </c>
      <c r="N25" s="18">
        <f t="shared" si="8"/>
        <v>7900213.1134594316</v>
      </c>
      <c r="O25" s="18">
        <f t="shared" si="8"/>
        <v>7959832.2343749003</v>
      </c>
      <c r="P25" s="18">
        <f t="shared" si="8"/>
        <v>8019667.2651807442</v>
      </c>
      <c r="Q25" s="18">
        <f t="shared" si="8"/>
        <v>8079712.8325849278</v>
      </c>
      <c r="R25" s="18">
        <f t="shared" si="8"/>
        <v>4075325.6176502197</v>
      </c>
      <c r="S25" s="18">
        <f t="shared" si="8"/>
        <v>4004478.9268748132</v>
      </c>
      <c r="T25" s="18">
        <f t="shared" si="8"/>
        <v>3932977.0682995403</v>
      </c>
      <c r="U25" s="18">
        <f t="shared" si="8"/>
        <v>3860803.1297383276</v>
      </c>
      <c r="V25" s="18">
        <f t="shared" si="8"/>
        <v>3787939.8798055262</v>
      </c>
      <c r="W25" s="14"/>
      <c r="X25" s="14"/>
      <c r="Y25" s="14"/>
      <c r="Z25" s="14"/>
      <c r="AA25" s="14"/>
      <c r="AB25" s="14"/>
      <c r="AC25" s="14"/>
      <c r="AD25" s="14"/>
      <c r="AE25" s="14"/>
      <c r="AF25" s="14"/>
      <c r="AG25" s="14"/>
      <c r="AH25" s="14"/>
      <c r="AI25" s="14"/>
      <c r="AJ25" s="14"/>
      <c r="AK25" s="14"/>
      <c r="AL25" s="14"/>
      <c r="AM25" s="14"/>
      <c r="AN25" s="14"/>
      <c r="AO25" s="14"/>
      <c r="AP25" s="14"/>
      <c r="AQ25" s="14"/>
    </row>
    <row r="26" spans="1:43" x14ac:dyDescent="0.2">
      <c r="A26" s="14" t="s">
        <v>27</v>
      </c>
      <c r="B26" s="26"/>
      <c r="C26" s="18">
        <f>MAX(C25,0)*$B$10</f>
        <v>0</v>
      </c>
      <c r="D26" s="18">
        <f t="shared" ref="D26:V26" si="9">MAX(D25,0)*$B$10</f>
        <v>0</v>
      </c>
      <c r="E26" s="18">
        <f t="shared" si="9"/>
        <v>0</v>
      </c>
      <c r="F26" s="18">
        <f t="shared" si="9"/>
        <v>0</v>
      </c>
      <c r="G26" s="18">
        <f t="shared" si="9"/>
        <v>0</v>
      </c>
      <c r="H26" s="18">
        <f t="shared" si="9"/>
        <v>556774.88108471583</v>
      </c>
      <c r="I26" s="18">
        <f t="shared" si="9"/>
        <v>1597161.421340426</v>
      </c>
      <c r="J26" s="18">
        <f t="shared" si="9"/>
        <v>1609439.2312393927</v>
      </c>
      <c r="K26" s="18">
        <f t="shared" si="9"/>
        <v>1621767.4180574499</v>
      </c>
      <c r="L26" s="18">
        <f t="shared" si="9"/>
        <v>1634145.0521786369</v>
      </c>
      <c r="M26" s="18">
        <f t="shared" si="9"/>
        <v>1646571.1661684155</v>
      </c>
      <c r="N26" s="18">
        <f t="shared" si="9"/>
        <v>1659044.7538264806</v>
      </c>
      <c r="O26" s="18">
        <f t="shared" si="9"/>
        <v>1671564.7692187291</v>
      </c>
      <c r="P26" s="18">
        <f t="shared" si="9"/>
        <v>1684130.1256879561</v>
      </c>
      <c r="Q26" s="18">
        <f t="shared" si="9"/>
        <v>1696739.6948428347</v>
      </c>
      <c r="R26" s="18">
        <f t="shared" si="9"/>
        <v>855818.37970654608</v>
      </c>
      <c r="S26" s="18">
        <f t="shared" si="9"/>
        <v>840940.57464371074</v>
      </c>
      <c r="T26" s="18">
        <f t="shared" si="9"/>
        <v>825925.18434290343</v>
      </c>
      <c r="U26" s="18">
        <f t="shared" si="9"/>
        <v>810768.65724504879</v>
      </c>
      <c r="V26" s="18">
        <f t="shared" si="9"/>
        <v>795467.37475916045</v>
      </c>
      <c r="W26" s="14"/>
      <c r="X26" s="14"/>
      <c r="Y26" s="14"/>
      <c r="Z26" s="14"/>
      <c r="AA26" s="14"/>
      <c r="AB26" s="14"/>
      <c r="AC26" s="14"/>
      <c r="AD26" s="14"/>
      <c r="AE26" s="14"/>
      <c r="AF26" s="14"/>
      <c r="AG26" s="14"/>
      <c r="AH26" s="14"/>
      <c r="AI26" s="14"/>
      <c r="AJ26" s="14"/>
      <c r="AK26" s="14"/>
      <c r="AL26" s="14"/>
      <c r="AM26" s="14"/>
      <c r="AN26" s="14"/>
      <c r="AO26" s="14"/>
      <c r="AP26" s="14"/>
      <c r="AQ26" s="14"/>
    </row>
    <row r="27" spans="1:43" x14ac:dyDescent="0.2">
      <c r="A27" s="16" t="s">
        <v>28</v>
      </c>
      <c r="B27" s="21">
        <f>B23+B40</f>
        <v>-70000000</v>
      </c>
      <c r="C27" s="21">
        <f>C21-C26</f>
        <v>7260000</v>
      </c>
      <c r="D27" s="21">
        <f t="shared" ref="D27:V27" si="10">D21-D26</f>
        <v>7316942.9999999981</v>
      </c>
      <c r="E27" s="21">
        <f>E21-E26</f>
        <v>7374148.9092749972</v>
      </c>
      <c r="F27" s="21">
        <f t="shared" si="10"/>
        <v>7431614.2921995521</v>
      </c>
      <c r="G27" s="21">
        <f t="shared" si="10"/>
        <v>7489335.5581496302</v>
      </c>
      <c r="H27" s="21">
        <f t="shared" si="10"/>
        <v>6990534.0764615498</v>
      </c>
      <c r="I27" s="21">
        <f t="shared" si="10"/>
        <v>6008369.1564711258</v>
      </c>
      <c r="J27" s="21">
        <f t="shared" si="10"/>
        <v>6054557.1079958109</v>
      </c>
      <c r="K27" s="21">
        <f t="shared" si="10"/>
        <v>6100934.5726923114</v>
      </c>
      <c r="L27" s="21">
        <f t="shared" si="10"/>
        <v>6147498.0534339203</v>
      </c>
      <c r="M27" s="21">
        <f t="shared" si="10"/>
        <v>6194243.91082404</v>
      </c>
      <c r="N27" s="21">
        <f t="shared" si="10"/>
        <v>6241168.3596329512</v>
      </c>
      <c r="O27" s="21">
        <f t="shared" si="10"/>
        <v>6288267.4651561715</v>
      </c>
      <c r="P27" s="21">
        <f t="shared" si="10"/>
        <v>6335537.1394927884</v>
      </c>
      <c r="Q27" s="21">
        <f t="shared" si="10"/>
        <v>6382973.1377420928</v>
      </c>
      <c r="R27" s="21">
        <f t="shared" si="10"/>
        <v>3219507.2379436735</v>
      </c>
      <c r="S27" s="21">
        <f t="shared" si="10"/>
        <v>3163538.3522311025</v>
      </c>
      <c r="T27" s="21">
        <f t="shared" si="10"/>
        <v>3107051.8839566368</v>
      </c>
      <c r="U27" s="21">
        <f t="shared" si="10"/>
        <v>3050034.4724932788</v>
      </c>
      <c r="V27" s="21">
        <f t="shared" si="10"/>
        <v>2992472.5050463658</v>
      </c>
      <c r="W27" s="14"/>
      <c r="X27" s="14"/>
      <c r="Y27" s="14"/>
      <c r="Z27" s="14"/>
      <c r="AA27" s="14"/>
      <c r="AB27" s="14"/>
      <c r="AC27" s="14"/>
      <c r="AD27" s="14"/>
      <c r="AE27" s="14"/>
      <c r="AF27" s="14"/>
      <c r="AG27" s="14"/>
      <c r="AH27" s="14"/>
      <c r="AI27" s="14"/>
      <c r="AJ27" s="14"/>
      <c r="AK27" s="14"/>
      <c r="AL27" s="14"/>
      <c r="AM27" s="14"/>
      <c r="AN27" s="14"/>
      <c r="AO27" s="14"/>
      <c r="AP27" s="14"/>
      <c r="AQ27" s="14"/>
    </row>
    <row r="28" spans="1:43" x14ac:dyDescent="0.2">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row>
    <row r="29" spans="1:43"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row>
    <row r="30" spans="1:43" ht="19" x14ac:dyDescent="0.25">
      <c r="A30" s="31" t="s">
        <v>29</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row>
    <row r="31" spans="1:43" x14ac:dyDescent="0.2">
      <c r="A31" s="27" t="s">
        <v>30</v>
      </c>
      <c r="B31" s="28">
        <f>IRR(B27:V27)</f>
        <v>6.2118022636611592E-2</v>
      </c>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row>
    <row r="32" spans="1:43" x14ac:dyDescent="0.2">
      <c r="A32" s="29" t="s">
        <v>31</v>
      </c>
      <c r="B32" s="30">
        <f>NPV(B11,C27:V27)+B27</f>
        <v>-7972192.5548689514</v>
      </c>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row>
    <row r="33" spans="1:43" x14ac:dyDescent="0.2">
      <c r="A33" s="14"/>
      <c r="B33" s="40"/>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row>
    <row r="34" spans="1:43" x14ac:dyDescent="0.2">
      <c r="A34" s="14" t="s">
        <v>48</v>
      </c>
      <c r="B34" s="40"/>
      <c r="C34" s="18">
        <f>C27/$F$2</f>
        <v>5584615.384615384</v>
      </c>
      <c r="D34" s="18">
        <f t="shared" ref="D34:Q34" si="11">D27/$F$2</f>
        <v>5628417.6923076911</v>
      </c>
      <c r="E34" s="18">
        <f t="shared" si="11"/>
        <v>5672422.2379038436</v>
      </c>
      <c r="F34" s="18">
        <f t="shared" si="11"/>
        <v>5716626.3786150394</v>
      </c>
      <c r="G34" s="18">
        <f t="shared" si="11"/>
        <v>5761027.3524227925</v>
      </c>
      <c r="H34" s="18">
        <f t="shared" si="11"/>
        <v>5377333.9049704224</v>
      </c>
      <c r="I34" s="18">
        <f t="shared" si="11"/>
        <v>4621822.4280547118</v>
      </c>
      <c r="J34" s="18">
        <f t="shared" si="11"/>
        <v>4657351.6215352388</v>
      </c>
      <c r="K34" s="18">
        <f t="shared" si="11"/>
        <v>4693026.5943787005</v>
      </c>
      <c r="L34" s="18">
        <f t="shared" si="11"/>
        <v>4728844.6564876307</v>
      </c>
      <c r="M34" s="18">
        <f t="shared" si="11"/>
        <v>4764803.008326184</v>
      </c>
      <c r="N34" s="18">
        <f t="shared" si="11"/>
        <v>4800898.7381791929</v>
      </c>
      <c r="O34" s="18">
        <f t="shared" si="11"/>
        <v>4837128.8193509011</v>
      </c>
      <c r="P34" s="18">
        <f t="shared" si="11"/>
        <v>4873490.1073021451</v>
      </c>
      <c r="Q34" s="18">
        <f t="shared" si="11"/>
        <v>4909979.3367246864</v>
      </c>
      <c r="R34" s="18" t="s">
        <v>58</v>
      </c>
      <c r="S34" s="18" t="s">
        <v>58</v>
      </c>
      <c r="T34" s="18" t="s">
        <v>58</v>
      </c>
      <c r="U34" s="18" t="s">
        <v>58</v>
      </c>
      <c r="V34" s="18" t="s">
        <v>58</v>
      </c>
      <c r="W34" s="14"/>
      <c r="X34" s="14"/>
      <c r="Y34" s="14"/>
      <c r="Z34" s="14"/>
      <c r="AA34" s="14"/>
      <c r="AB34" s="14"/>
      <c r="AC34" s="14"/>
      <c r="AD34" s="14"/>
      <c r="AE34" s="14"/>
      <c r="AF34" s="14"/>
      <c r="AG34" s="14"/>
      <c r="AH34" s="14"/>
      <c r="AI34" s="14"/>
      <c r="AJ34" s="14"/>
      <c r="AK34" s="14"/>
      <c r="AL34" s="14"/>
      <c r="AM34" s="14"/>
      <c r="AN34" s="14"/>
      <c r="AO34" s="14"/>
      <c r="AP34" s="14"/>
      <c r="AQ34" s="14"/>
    </row>
    <row r="35" spans="1:43" x14ac:dyDescent="0.2">
      <c r="A35" s="14" t="s">
        <v>47</v>
      </c>
      <c r="B35" s="40"/>
      <c r="C35" s="18">
        <f>NPV(F4,C34:V34)</f>
        <v>50446637.019048646</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row>
    <row r="36" spans="1:43" x14ac:dyDescent="0.2">
      <c r="A36" s="14"/>
      <c r="B36" s="40"/>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row>
    <row r="37" spans="1:43" x14ac:dyDescent="0.2">
      <c r="A37" s="35" t="s">
        <v>50</v>
      </c>
      <c r="B37" s="40"/>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row>
    <row r="38" spans="1:43" x14ac:dyDescent="0.2">
      <c r="A38" s="14" t="s">
        <v>52</v>
      </c>
      <c r="B38" s="42">
        <v>0.3</v>
      </c>
      <c r="C38" s="43"/>
      <c r="D38" s="43"/>
      <c r="E38" s="43"/>
      <c r="F38" s="43"/>
      <c r="G38" s="43"/>
      <c r="H38" s="43"/>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row>
    <row r="39" spans="1:43" x14ac:dyDescent="0.2">
      <c r="A39" s="14" t="s">
        <v>51</v>
      </c>
      <c r="C39" s="44">
        <v>0.2</v>
      </c>
      <c r="D39" s="44">
        <v>0.32</v>
      </c>
      <c r="E39" s="44">
        <v>0.192</v>
      </c>
      <c r="F39" s="44">
        <v>0.1152</v>
      </c>
      <c r="G39" s="44">
        <v>0.1152</v>
      </c>
      <c r="H39" s="44">
        <v>5.7599999999999998E-2</v>
      </c>
      <c r="I39" s="41"/>
      <c r="J39" s="41"/>
      <c r="K39" s="41"/>
      <c r="L39" s="41"/>
      <c r="M39" s="41"/>
      <c r="N39" s="41"/>
      <c r="O39" s="41"/>
      <c r="P39" s="41"/>
      <c r="Q39" s="41"/>
      <c r="R39" s="41"/>
      <c r="S39" s="41"/>
      <c r="T39" s="41"/>
      <c r="U39" s="41"/>
      <c r="V39" s="41"/>
      <c r="W39" s="14"/>
      <c r="X39" s="14"/>
      <c r="Y39" s="14"/>
      <c r="Z39" s="14"/>
      <c r="AA39" s="14"/>
      <c r="AB39" s="14"/>
      <c r="AC39" s="14"/>
      <c r="AD39" s="14"/>
      <c r="AE39" s="14"/>
      <c r="AF39" s="14"/>
      <c r="AG39" s="14"/>
      <c r="AH39" s="14"/>
      <c r="AI39" s="14"/>
      <c r="AJ39" s="14"/>
      <c r="AK39" s="14"/>
      <c r="AL39" s="14"/>
      <c r="AM39" s="14"/>
      <c r="AN39" s="14"/>
      <c r="AO39" s="14"/>
      <c r="AP39" s="14"/>
      <c r="AQ39" s="14"/>
    </row>
    <row r="40" spans="1:43" x14ac:dyDescent="0.2">
      <c r="A40" s="14" t="s">
        <v>53</v>
      </c>
      <c r="B40" s="45">
        <f>B2*B9*B38</f>
        <v>30000000</v>
      </c>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row>
    <row r="41" spans="1:43" x14ac:dyDescent="0.2">
      <c r="A41" s="14" t="s">
        <v>54</v>
      </c>
      <c r="B41" s="45">
        <f>B2*B9-(0.5*B40)</f>
        <v>85000000</v>
      </c>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row>
    <row r="42" spans="1:43" x14ac:dyDescent="0.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row>
    <row r="43" spans="1:43" x14ac:dyDescent="0.2">
      <c r="A43" s="16" t="s">
        <v>32</v>
      </c>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row>
    <row r="44" spans="1:43" x14ac:dyDescent="0.2">
      <c r="A44" s="17" t="s">
        <v>18</v>
      </c>
      <c r="B44" s="22">
        <v>0</v>
      </c>
      <c r="C44" s="22">
        <f>B44+1</f>
        <v>1</v>
      </c>
      <c r="D44" s="22">
        <f t="shared" ref="D44:V44" si="12">C44+1</f>
        <v>2</v>
      </c>
      <c r="E44" s="22">
        <f t="shared" si="12"/>
        <v>3</v>
      </c>
      <c r="F44" s="22">
        <f t="shared" si="12"/>
        <v>4</v>
      </c>
      <c r="G44" s="22">
        <f t="shared" si="12"/>
        <v>5</v>
      </c>
      <c r="H44" s="22">
        <f t="shared" si="12"/>
        <v>6</v>
      </c>
      <c r="I44" s="22">
        <f t="shared" si="12"/>
        <v>7</v>
      </c>
      <c r="J44" s="22">
        <f t="shared" si="12"/>
        <v>8</v>
      </c>
      <c r="K44" s="22">
        <f t="shared" si="12"/>
        <v>9</v>
      </c>
      <c r="L44" s="22">
        <f t="shared" si="12"/>
        <v>10</v>
      </c>
      <c r="M44" s="22">
        <f t="shared" si="12"/>
        <v>11</v>
      </c>
      <c r="N44" s="22">
        <f t="shared" si="12"/>
        <v>12</v>
      </c>
      <c r="O44" s="22">
        <f t="shared" si="12"/>
        <v>13</v>
      </c>
      <c r="P44" s="22">
        <f t="shared" si="12"/>
        <v>14</v>
      </c>
      <c r="Q44" s="22">
        <f t="shared" si="12"/>
        <v>15</v>
      </c>
      <c r="R44" s="22">
        <f t="shared" si="12"/>
        <v>16</v>
      </c>
      <c r="S44" s="22">
        <f t="shared" si="12"/>
        <v>17</v>
      </c>
      <c r="T44" s="22">
        <f t="shared" si="12"/>
        <v>18</v>
      </c>
      <c r="U44" s="22">
        <f t="shared" si="12"/>
        <v>19</v>
      </c>
      <c r="V44" s="22">
        <f t="shared" si="12"/>
        <v>20</v>
      </c>
      <c r="W44" s="14"/>
      <c r="X44" s="14"/>
      <c r="Y44" s="14"/>
      <c r="Z44" s="14"/>
      <c r="AA44" s="14"/>
      <c r="AB44" s="14"/>
      <c r="AC44" s="14"/>
      <c r="AD44" s="14"/>
      <c r="AE44" s="14"/>
      <c r="AF44" s="14"/>
      <c r="AG44" s="14"/>
      <c r="AH44" s="14"/>
      <c r="AI44" s="14"/>
      <c r="AJ44" s="14"/>
      <c r="AK44" s="14"/>
      <c r="AL44" s="14"/>
      <c r="AM44" s="14"/>
      <c r="AN44" s="14"/>
      <c r="AO44" s="14"/>
      <c r="AP44" s="14"/>
      <c r="AQ44" s="14"/>
    </row>
    <row r="45" spans="1:43" x14ac:dyDescent="0.2">
      <c r="A45" s="14" t="s">
        <v>33</v>
      </c>
      <c r="B45" s="18">
        <f>-C35</f>
        <v>-50446637.019048646</v>
      </c>
      <c r="C45" s="19">
        <v>0</v>
      </c>
      <c r="D45" s="19">
        <v>0</v>
      </c>
      <c r="E45" s="19">
        <v>0</v>
      </c>
      <c r="F45" s="19">
        <v>0</v>
      </c>
      <c r="G45" s="19">
        <v>0</v>
      </c>
      <c r="H45" s="19">
        <v>0</v>
      </c>
      <c r="I45" s="19">
        <v>0</v>
      </c>
      <c r="J45" s="19">
        <v>0</v>
      </c>
      <c r="K45" s="19">
        <v>0</v>
      </c>
      <c r="L45" s="19">
        <v>0</v>
      </c>
      <c r="M45" s="19">
        <v>0</v>
      </c>
      <c r="N45" s="19">
        <v>0</v>
      </c>
      <c r="O45" s="19">
        <v>0</v>
      </c>
      <c r="P45" s="19">
        <v>0</v>
      </c>
      <c r="Q45" s="19">
        <v>0</v>
      </c>
      <c r="R45" s="19">
        <v>0</v>
      </c>
      <c r="S45" s="19">
        <v>0</v>
      </c>
      <c r="T45" s="19">
        <v>0</v>
      </c>
      <c r="U45" s="19">
        <v>0</v>
      </c>
      <c r="V45" s="19">
        <v>0</v>
      </c>
      <c r="W45" s="14"/>
      <c r="X45" s="14"/>
      <c r="Y45" s="14"/>
      <c r="Z45" s="14"/>
      <c r="AA45" s="14"/>
      <c r="AB45" s="14"/>
      <c r="AC45" s="14"/>
      <c r="AD45" s="14"/>
      <c r="AE45" s="14"/>
      <c r="AF45" s="14"/>
      <c r="AG45" s="14"/>
      <c r="AH45" s="14"/>
      <c r="AI45" s="14"/>
      <c r="AJ45" s="14"/>
      <c r="AK45" s="14"/>
      <c r="AL45" s="14"/>
      <c r="AM45" s="14"/>
      <c r="AN45" s="14"/>
      <c r="AO45" s="14"/>
      <c r="AP45" s="14"/>
      <c r="AQ45" s="14"/>
    </row>
    <row r="46" spans="1:43" x14ac:dyDescent="0.2">
      <c r="A46" s="14" t="s">
        <v>34</v>
      </c>
      <c r="B46" s="32"/>
      <c r="C46" s="18">
        <f>B49</f>
        <v>-50446637.019048646</v>
      </c>
      <c r="D46" s="18">
        <f t="shared" ref="D46:R46" si="13">C49</f>
        <v>-47888819.85557618</v>
      </c>
      <c r="E46" s="18">
        <f t="shared" si="13"/>
        <v>-45133731.35460306</v>
      </c>
      <c r="F46" s="18">
        <f t="shared" si="13"/>
        <v>-42169332.997975402</v>
      </c>
      <c r="G46" s="18">
        <f t="shared" si="13"/>
        <v>-38982866.599238887</v>
      </c>
      <c r="H46" s="18">
        <f t="shared" si="13"/>
        <v>-35560811.242770426</v>
      </c>
      <c r="I46" s="18">
        <f t="shared" si="13"/>
        <v>-32317126.012366228</v>
      </c>
      <c r="J46" s="18">
        <f t="shared" si="13"/>
        <v>-29634331.145053491</v>
      </c>
      <c r="K46" s="18">
        <f t="shared" si="13"/>
        <v>-26755039.392221462</v>
      </c>
      <c r="L46" s="18">
        <f t="shared" si="13"/>
        <v>-23667315.161376048</v>
      </c>
      <c r="M46" s="18">
        <f t="shared" si="13"/>
        <v>-20358509.41457098</v>
      </c>
      <c r="N46" s="18">
        <f>M49</f>
        <v>-16815216.971119054</v>
      </c>
      <c r="O46" s="18">
        <f t="shared" si="13"/>
        <v>-13023231.251207003</v>
      </c>
      <c r="P46" s="18">
        <f t="shared" si="13"/>
        <v>-8967496.3069285229</v>
      </c>
      <c r="Q46" s="18">
        <f t="shared" si="13"/>
        <v>-4632055.9780420894</v>
      </c>
      <c r="R46" s="18">
        <f t="shared" si="13"/>
        <v>7.1711838245391846E-8</v>
      </c>
      <c r="S46" s="18">
        <v>0</v>
      </c>
      <c r="T46" s="18">
        <v>0</v>
      </c>
      <c r="U46" s="18">
        <v>0</v>
      </c>
      <c r="V46" s="18">
        <v>0</v>
      </c>
      <c r="W46" s="14"/>
      <c r="X46" s="14"/>
      <c r="Y46" s="14"/>
      <c r="Z46" s="14"/>
      <c r="AA46" s="14"/>
      <c r="AB46" s="14"/>
      <c r="AC46" s="14"/>
      <c r="AD46" s="14"/>
      <c r="AE46" s="14"/>
      <c r="AF46" s="14"/>
      <c r="AG46" s="14"/>
      <c r="AH46" s="14"/>
      <c r="AI46" s="14"/>
      <c r="AJ46" s="14"/>
      <c r="AK46" s="14"/>
      <c r="AL46" s="14"/>
      <c r="AM46" s="14"/>
      <c r="AN46" s="14"/>
      <c r="AO46" s="14"/>
      <c r="AP46" s="14"/>
      <c r="AQ46" s="14"/>
    </row>
    <row r="47" spans="1:43" x14ac:dyDescent="0.2">
      <c r="A47" s="14" t="s">
        <v>35</v>
      </c>
      <c r="B47" s="14"/>
      <c r="C47" s="20">
        <f>-C46*$F$4</f>
        <v>3026798.2211429188</v>
      </c>
      <c r="D47" s="20">
        <f t="shared" ref="D47:V47" si="14">-D46*$F$4</f>
        <v>2873329.1913345708</v>
      </c>
      <c r="E47" s="20">
        <f t="shared" si="14"/>
        <v>2708023.8812761833</v>
      </c>
      <c r="F47" s="20">
        <f t="shared" si="14"/>
        <v>2530159.9798785239</v>
      </c>
      <c r="G47" s="20">
        <f t="shared" si="14"/>
        <v>2338971.9959543333</v>
      </c>
      <c r="H47" s="20">
        <f t="shared" si="14"/>
        <v>2133648.6745662256</v>
      </c>
      <c r="I47" s="20">
        <f t="shared" si="14"/>
        <v>1939027.5607419736</v>
      </c>
      <c r="J47" s="20">
        <f t="shared" si="14"/>
        <v>1778059.8687032093</v>
      </c>
      <c r="K47" s="20">
        <f t="shared" si="14"/>
        <v>1605302.3635332878</v>
      </c>
      <c r="L47" s="20">
        <f t="shared" si="14"/>
        <v>1420038.9096825628</v>
      </c>
      <c r="M47" s="20">
        <f t="shared" si="14"/>
        <v>1221510.5648742588</v>
      </c>
      <c r="N47" s="20">
        <f t="shared" si="14"/>
        <v>1008913.0182671432</v>
      </c>
      <c r="O47" s="20">
        <f t="shared" si="14"/>
        <v>781393.87507242023</v>
      </c>
      <c r="P47" s="20">
        <f t="shared" si="14"/>
        <v>538049.77841571136</v>
      </c>
      <c r="Q47" s="20">
        <f t="shared" si="14"/>
        <v>277923.35868252534</v>
      </c>
      <c r="R47" s="20">
        <v>0</v>
      </c>
      <c r="S47" s="20">
        <f t="shared" si="14"/>
        <v>0</v>
      </c>
      <c r="T47" s="20">
        <f t="shared" si="14"/>
        <v>0</v>
      </c>
      <c r="U47" s="20">
        <f t="shared" si="14"/>
        <v>0</v>
      </c>
      <c r="V47" s="20">
        <f t="shared" si="14"/>
        <v>0</v>
      </c>
      <c r="W47" s="14"/>
      <c r="X47" s="14"/>
      <c r="Y47" s="14"/>
      <c r="Z47" s="14"/>
      <c r="AA47" s="14"/>
      <c r="AB47" s="14"/>
      <c r="AC47" s="14"/>
      <c r="AD47" s="14"/>
      <c r="AE47" s="14"/>
      <c r="AF47" s="14"/>
      <c r="AG47" s="14"/>
      <c r="AH47" s="14"/>
      <c r="AI47" s="14"/>
      <c r="AJ47" s="14"/>
      <c r="AK47" s="14"/>
      <c r="AL47" s="14"/>
      <c r="AM47" s="14"/>
      <c r="AN47" s="14"/>
      <c r="AO47" s="14"/>
      <c r="AP47" s="14"/>
      <c r="AQ47" s="14"/>
    </row>
    <row r="48" spans="1:43" x14ac:dyDescent="0.2">
      <c r="A48" s="14" t="s">
        <v>36</v>
      </c>
      <c r="B48" s="14"/>
      <c r="C48" s="20">
        <f>C34-C47</f>
        <v>2557817.1634724652</v>
      </c>
      <c r="D48" s="20">
        <f t="shared" ref="D48:Q48" si="15">D34-D47</f>
        <v>2755088.5009731203</v>
      </c>
      <c r="E48" s="20">
        <f t="shared" si="15"/>
        <v>2964398.3566276603</v>
      </c>
      <c r="F48" s="20">
        <f t="shared" si="15"/>
        <v>3186466.3987365155</v>
      </c>
      <c r="G48" s="20">
        <f t="shared" si="15"/>
        <v>3422055.3564684591</v>
      </c>
      <c r="H48" s="20">
        <f t="shared" si="15"/>
        <v>3243685.2304041968</v>
      </c>
      <c r="I48" s="20">
        <f t="shared" si="15"/>
        <v>2682794.8673127382</v>
      </c>
      <c r="J48" s="20">
        <f t="shared" si="15"/>
        <v>2879291.7528320295</v>
      </c>
      <c r="K48" s="20">
        <f t="shared" si="15"/>
        <v>3087724.2308454127</v>
      </c>
      <c r="L48" s="20">
        <f t="shared" si="15"/>
        <v>3308805.7468050681</v>
      </c>
      <c r="M48" s="20">
        <f t="shared" si="15"/>
        <v>3543292.4434519252</v>
      </c>
      <c r="N48" s="20">
        <f t="shared" si="15"/>
        <v>3791985.7199120498</v>
      </c>
      <c r="O48" s="20">
        <f t="shared" si="15"/>
        <v>4055734.944278481</v>
      </c>
      <c r="P48" s="20">
        <f t="shared" si="15"/>
        <v>4335440.3288864335</v>
      </c>
      <c r="Q48" s="20">
        <f t="shared" si="15"/>
        <v>4632055.9780421611</v>
      </c>
      <c r="R48" s="20">
        <v>0</v>
      </c>
      <c r="S48" s="20">
        <v>0</v>
      </c>
      <c r="T48" s="20">
        <v>0</v>
      </c>
      <c r="U48" s="20">
        <v>0</v>
      </c>
      <c r="V48" s="20">
        <v>0</v>
      </c>
      <c r="W48" s="14"/>
      <c r="X48" s="14"/>
      <c r="Y48" s="14"/>
      <c r="Z48" s="14"/>
      <c r="AA48" s="14"/>
      <c r="AB48" s="14"/>
      <c r="AC48" s="14"/>
      <c r="AD48" s="14"/>
      <c r="AE48" s="14"/>
      <c r="AF48" s="14"/>
      <c r="AG48" s="14"/>
      <c r="AH48" s="14"/>
      <c r="AI48" s="14"/>
      <c r="AJ48" s="14"/>
      <c r="AK48" s="14"/>
      <c r="AL48" s="14"/>
      <c r="AM48" s="14"/>
      <c r="AN48" s="14"/>
      <c r="AO48" s="14"/>
      <c r="AP48" s="14"/>
      <c r="AQ48" s="14"/>
    </row>
    <row r="49" spans="1:43" x14ac:dyDescent="0.2">
      <c r="A49" s="14" t="s">
        <v>37</v>
      </c>
      <c r="B49" s="18">
        <f>B45</f>
        <v>-50446637.019048646</v>
      </c>
      <c r="C49" s="20">
        <f>C46+C48</f>
        <v>-47888819.85557618</v>
      </c>
      <c r="D49" s="20">
        <f t="shared" ref="D49:V49" si="16">D46+D48</f>
        <v>-45133731.35460306</v>
      </c>
      <c r="E49" s="20">
        <f t="shared" si="16"/>
        <v>-42169332.997975402</v>
      </c>
      <c r="F49" s="20">
        <f t="shared" si="16"/>
        <v>-38982866.599238887</v>
      </c>
      <c r="G49" s="20">
        <f t="shared" si="16"/>
        <v>-35560811.242770426</v>
      </c>
      <c r="H49" s="20">
        <f t="shared" si="16"/>
        <v>-32317126.012366228</v>
      </c>
      <c r="I49" s="20">
        <f t="shared" si="16"/>
        <v>-29634331.145053491</v>
      </c>
      <c r="J49" s="20">
        <f t="shared" si="16"/>
        <v>-26755039.392221462</v>
      </c>
      <c r="K49" s="20">
        <f t="shared" si="16"/>
        <v>-23667315.161376048</v>
      </c>
      <c r="L49" s="20">
        <f t="shared" si="16"/>
        <v>-20358509.41457098</v>
      </c>
      <c r="M49" s="20">
        <f t="shared" si="16"/>
        <v>-16815216.971119054</v>
      </c>
      <c r="N49" s="20">
        <f t="shared" si="16"/>
        <v>-13023231.251207003</v>
      </c>
      <c r="O49" s="20">
        <f t="shared" si="16"/>
        <v>-8967496.3069285229</v>
      </c>
      <c r="P49" s="20">
        <f t="shared" si="16"/>
        <v>-4632055.9780420894</v>
      </c>
      <c r="Q49" s="20">
        <f t="shared" si="16"/>
        <v>7.1711838245391846E-8</v>
      </c>
      <c r="R49" s="20">
        <v>0</v>
      </c>
      <c r="S49" s="20">
        <f t="shared" si="16"/>
        <v>0</v>
      </c>
      <c r="T49" s="20">
        <f t="shared" si="16"/>
        <v>0</v>
      </c>
      <c r="U49" s="20">
        <f t="shared" si="16"/>
        <v>0</v>
      </c>
      <c r="V49" s="20">
        <f t="shared" si="16"/>
        <v>0</v>
      </c>
      <c r="W49" s="14"/>
      <c r="X49" s="14"/>
      <c r="Y49" s="14"/>
      <c r="Z49" s="14"/>
      <c r="AA49" s="14"/>
      <c r="AB49" s="14"/>
      <c r="AC49" s="14"/>
      <c r="AD49" s="14"/>
      <c r="AE49" s="14"/>
      <c r="AF49" s="14"/>
      <c r="AG49" s="14"/>
      <c r="AH49" s="14"/>
      <c r="AI49" s="14"/>
      <c r="AJ49" s="14"/>
      <c r="AK49" s="14"/>
      <c r="AL49" s="14"/>
      <c r="AM49" s="14"/>
      <c r="AN49" s="14"/>
      <c r="AO49" s="14"/>
      <c r="AP49" s="14"/>
      <c r="AQ49" s="14"/>
    </row>
    <row r="50" spans="1:43" x14ac:dyDescent="0.2">
      <c r="A50" s="14" t="s">
        <v>39</v>
      </c>
      <c r="B50" s="14"/>
      <c r="C50" s="20">
        <f>C47+C48</f>
        <v>5584615.384615384</v>
      </c>
      <c r="D50" s="20">
        <f t="shared" ref="D50:V50" si="17">D47+D48</f>
        <v>5628417.6923076911</v>
      </c>
      <c r="E50" s="20">
        <f t="shared" si="17"/>
        <v>5672422.2379038436</v>
      </c>
      <c r="F50" s="20">
        <f t="shared" si="17"/>
        <v>5716626.3786150394</v>
      </c>
      <c r="G50" s="20">
        <f t="shared" si="17"/>
        <v>5761027.3524227925</v>
      </c>
      <c r="H50" s="20">
        <f t="shared" si="17"/>
        <v>5377333.9049704224</v>
      </c>
      <c r="I50" s="20">
        <f t="shared" si="17"/>
        <v>4621822.4280547118</v>
      </c>
      <c r="J50" s="20">
        <f t="shared" si="17"/>
        <v>4657351.6215352388</v>
      </c>
      <c r="K50" s="20">
        <f t="shared" si="17"/>
        <v>4693026.5943787005</v>
      </c>
      <c r="L50" s="20">
        <f t="shared" si="17"/>
        <v>4728844.6564876307</v>
      </c>
      <c r="M50" s="20">
        <f t="shared" si="17"/>
        <v>4764803.008326184</v>
      </c>
      <c r="N50" s="20">
        <f t="shared" si="17"/>
        <v>4800898.7381791929</v>
      </c>
      <c r="O50" s="20">
        <f t="shared" si="17"/>
        <v>4837128.8193509011</v>
      </c>
      <c r="P50" s="20">
        <f t="shared" si="17"/>
        <v>4873490.1073021451</v>
      </c>
      <c r="Q50" s="20">
        <f t="shared" si="17"/>
        <v>4909979.3367246864</v>
      </c>
      <c r="R50" s="20">
        <v>0</v>
      </c>
      <c r="S50" s="20">
        <f t="shared" si="17"/>
        <v>0</v>
      </c>
      <c r="T50" s="20">
        <f t="shared" si="17"/>
        <v>0</v>
      </c>
      <c r="U50" s="20">
        <f t="shared" si="17"/>
        <v>0</v>
      </c>
      <c r="V50" s="20">
        <f t="shared" si="17"/>
        <v>0</v>
      </c>
      <c r="W50" s="14"/>
      <c r="X50" s="14"/>
      <c r="Y50" s="14"/>
      <c r="Z50" s="14"/>
      <c r="AA50" s="14"/>
      <c r="AB50" s="14"/>
      <c r="AC50" s="14"/>
      <c r="AD50" s="14"/>
      <c r="AE50" s="14"/>
      <c r="AF50" s="14"/>
      <c r="AG50" s="14"/>
      <c r="AH50" s="14"/>
      <c r="AI50" s="14"/>
      <c r="AJ50" s="14"/>
      <c r="AK50" s="14"/>
      <c r="AL50" s="14"/>
      <c r="AM50" s="14"/>
      <c r="AN50" s="14"/>
      <c r="AO50" s="14"/>
      <c r="AP50" s="14"/>
      <c r="AQ50" s="14"/>
    </row>
    <row r="51" spans="1:43" x14ac:dyDescent="0.2">
      <c r="A51" s="14" t="s">
        <v>38</v>
      </c>
      <c r="B51" s="14"/>
      <c r="C51" s="33">
        <f>C27/C50</f>
        <v>1.3</v>
      </c>
      <c r="D51" s="33">
        <f t="shared" ref="D51:Q51" si="18">D27/D50</f>
        <v>1.3</v>
      </c>
      <c r="E51" s="33">
        <f t="shared" si="18"/>
        <v>1.3</v>
      </c>
      <c r="F51" s="33">
        <f t="shared" si="18"/>
        <v>1.3</v>
      </c>
      <c r="G51" s="33">
        <f t="shared" si="18"/>
        <v>1.3</v>
      </c>
      <c r="H51" s="33">
        <f t="shared" si="18"/>
        <v>1.3</v>
      </c>
      <c r="I51" s="33">
        <f t="shared" si="18"/>
        <v>1.3</v>
      </c>
      <c r="J51" s="33">
        <f t="shared" si="18"/>
        <v>1.3</v>
      </c>
      <c r="K51" s="33">
        <f t="shared" si="18"/>
        <v>1.3000000000000003</v>
      </c>
      <c r="L51" s="33">
        <f t="shared" si="18"/>
        <v>1.3</v>
      </c>
      <c r="M51" s="33">
        <f t="shared" si="18"/>
        <v>1.3000000000000003</v>
      </c>
      <c r="N51" s="33">
        <f t="shared" si="18"/>
        <v>1.3</v>
      </c>
      <c r="O51" s="33">
        <f t="shared" si="18"/>
        <v>1.3</v>
      </c>
      <c r="P51" s="33">
        <f t="shared" si="18"/>
        <v>1.3</v>
      </c>
      <c r="Q51" s="33">
        <f t="shared" si="18"/>
        <v>1.3</v>
      </c>
      <c r="R51" s="33" t="s">
        <v>58</v>
      </c>
      <c r="S51" s="33" t="s">
        <v>58</v>
      </c>
      <c r="T51" s="33" t="s">
        <v>58</v>
      </c>
      <c r="U51" s="33" t="s">
        <v>58</v>
      </c>
      <c r="V51" s="33" t="s">
        <v>58</v>
      </c>
      <c r="W51" s="14"/>
      <c r="X51" s="14"/>
      <c r="Y51" s="14"/>
      <c r="Z51" s="14"/>
      <c r="AA51" s="14"/>
      <c r="AB51" s="14"/>
      <c r="AC51" s="14"/>
      <c r="AD51" s="14"/>
      <c r="AE51" s="14"/>
      <c r="AF51" s="14"/>
      <c r="AG51" s="14"/>
      <c r="AH51" s="14"/>
      <c r="AI51" s="14"/>
      <c r="AJ51" s="14"/>
      <c r="AK51" s="14"/>
      <c r="AL51" s="14"/>
      <c r="AM51" s="14"/>
      <c r="AN51" s="14"/>
      <c r="AO51" s="14"/>
      <c r="AP51" s="14"/>
      <c r="AQ51" s="14"/>
    </row>
    <row r="52" spans="1:43" x14ac:dyDescent="0.2">
      <c r="A52" s="16" t="s">
        <v>40</v>
      </c>
      <c r="B52" s="21">
        <f>B27-B49</f>
        <v>-19553362.980951354</v>
      </c>
      <c r="C52" s="21">
        <f>C27-C50</f>
        <v>1675384.615384616</v>
      </c>
      <c r="D52" s="21">
        <f t="shared" ref="D52:V52" si="19">D27-D50</f>
        <v>1688525.307692307</v>
      </c>
      <c r="E52" s="21">
        <f t="shared" si="19"/>
        <v>1701726.6713711536</v>
      </c>
      <c r="F52" s="21">
        <f t="shared" si="19"/>
        <v>1714987.9135845127</v>
      </c>
      <c r="G52" s="21">
        <f t="shared" si="19"/>
        <v>1728308.2057268377</v>
      </c>
      <c r="H52" s="21">
        <f t="shared" si="19"/>
        <v>1613200.1714911275</v>
      </c>
      <c r="I52" s="21">
        <f t="shared" si="19"/>
        <v>1386546.728416414</v>
      </c>
      <c r="J52" s="21">
        <f t="shared" si="19"/>
        <v>1397205.4864605721</v>
      </c>
      <c r="K52" s="21">
        <f t="shared" si="19"/>
        <v>1407907.9783136109</v>
      </c>
      <c r="L52" s="21">
        <f t="shared" si="19"/>
        <v>1418653.3969462896</v>
      </c>
      <c r="M52" s="21">
        <f t="shared" si="19"/>
        <v>1429440.9024978559</v>
      </c>
      <c r="N52" s="21">
        <f t="shared" si="19"/>
        <v>1440269.6214537583</v>
      </c>
      <c r="O52" s="21">
        <f t="shared" si="19"/>
        <v>1451138.6458052704</v>
      </c>
      <c r="P52" s="21">
        <f t="shared" si="19"/>
        <v>1462047.0321906433</v>
      </c>
      <c r="Q52" s="21">
        <f t="shared" si="19"/>
        <v>1472993.8010174064</v>
      </c>
      <c r="R52" s="21">
        <f t="shared" si="19"/>
        <v>3219507.2379436735</v>
      </c>
      <c r="S52" s="21">
        <f t="shared" si="19"/>
        <v>3163538.3522311025</v>
      </c>
      <c r="T52" s="21">
        <f t="shared" si="19"/>
        <v>3107051.8839566368</v>
      </c>
      <c r="U52" s="21">
        <f t="shared" si="19"/>
        <v>3050034.4724932788</v>
      </c>
      <c r="V52" s="21">
        <f t="shared" si="19"/>
        <v>2992472.5050463658</v>
      </c>
      <c r="W52" s="14"/>
      <c r="X52" s="14"/>
      <c r="Y52" s="14"/>
      <c r="Z52" s="14"/>
      <c r="AA52" s="14"/>
      <c r="AB52" s="14"/>
      <c r="AC52" s="14"/>
      <c r="AD52" s="14"/>
      <c r="AE52" s="14"/>
      <c r="AF52" s="14"/>
      <c r="AG52" s="14"/>
      <c r="AH52" s="14"/>
      <c r="AI52" s="14"/>
      <c r="AJ52" s="14"/>
      <c r="AK52" s="14"/>
      <c r="AL52" s="14"/>
      <c r="AM52" s="14"/>
      <c r="AN52" s="14"/>
      <c r="AO52" s="14"/>
      <c r="AP52" s="14"/>
      <c r="AQ52" s="14"/>
    </row>
    <row r="53" spans="1:43" x14ac:dyDescent="0.2">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row>
    <row r="54" spans="1:43" x14ac:dyDescent="0.2">
      <c r="A54" s="35" t="s">
        <v>41</v>
      </c>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spans="1:43" x14ac:dyDescent="0.2">
      <c r="A55" s="27" t="s">
        <v>42</v>
      </c>
      <c r="B55" s="46">
        <f>IRR(B52:V52)</f>
        <v>6.5859767971138794E-2</v>
      </c>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spans="1:43" x14ac:dyDescent="0.2">
      <c r="A56" s="29" t="s">
        <v>43</v>
      </c>
      <c r="B56" s="47">
        <f>NPV(B11,C52:V52)+B52</f>
        <v>-2223064.5103574209</v>
      </c>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row>
    <row r="57" spans="1:43" x14ac:dyDescent="0.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row>
    <row r="58" spans="1:43" x14ac:dyDescent="0.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spans="1:43" x14ac:dyDescent="0.2">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row>
    <row r="60" spans="1:43"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row>
    <row r="61" spans="1:43"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row>
    <row r="62" spans="1:43" x14ac:dyDescent="0.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row>
    <row r="63" spans="1:43" x14ac:dyDescent="0.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row>
    <row r="64" spans="1:43" x14ac:dyDescent="0.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row>
    <row r="65" spans="1:43" x14ac:dyDescent="0.2">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row>
    <row r="66" spans="1:43" x14ac:dyDescent="0.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row>
    <row r="67" spans="1:43" x14ac:dyDescent="0.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row>
    <row r="68" spans="1:43" x14ac:dyDescent="0.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row>
    <row r="69" spans="1:43" x14ac:dyDescent="0.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row>
    <row r="70" spans="1:43" x14ac:dyDescent="0.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row>
    <row r="71" spans="1:43" x14ac:dyDescent="0.2">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row>
    <row r="72" spans="1:43" x14ac:dyDescent="0.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spans="1:43" x14ac:dyDescent="0.2">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row>
    <row r="74" spans="1:43" x14ac:dyDescent="0.2">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row>
    <row r="75" spans="1:43"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spans="1:43" x14ac:dyDescent="0.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spans="1:43" x14ac:dyDescent="0.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row r="78" spans="1:43" x14ac:dyDescent="0.2">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row>
    <row r="79" spans="1:43" x14ac:dyDescent="0.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row>
    <row r="80" spans="1:43" x14ac:dyDescent="0.2">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row>
    <row r="81" spans="1:43" x14ac:dyDescent="0.2">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row>
    <row r="82" spans="1:43"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row>
    <row r="83" spans="1:43" x14ac:dyDescent="0.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row>
    <row r="84" spans="1:43" x14ac:dyDescent="0.2">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row>
    <row r="85" spans="1:43" x14ac:dyDescent="0.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x14ac:dyDescent="0.2">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row>
    <row r="87" spans="1:43"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row>
    <row r="88" spans="1:43" x14ac:dyDescent="0.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row>
    <row r="89" spans="1:43"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spans="1:43"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row>
    <row r="91" spans="1:43"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row>
    <row r="92" spans="1:43" x14ac:dyDescent="0.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row>
    <row r="93" spans="1:43" x14ac:dyDescent="0.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row>
    <row r="94" spans="1:43"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row>
    <row r="95" spans="1:43"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row>
    <row r="96" spans="1:43"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row>
    <row r="97" spans="1:43"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row>
    <row r="99" spans="1:43"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row>
    <row r="100" spans="1:43"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row>
    <row r="101" spans="1:43"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spans="1:43"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row>
    <row r="103" spans="1:43"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row>
    <row r="104" spans="1:43"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row>
    <row r="105" spans="1:43"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row>
    <row r="106" spans="1:43"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row>
    <row r="107" spans="1:43"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row>
    <row r="108" spans="1:43"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row>
    <row r="109" spans="1:43"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row>
    <row r="110" spans="1:43"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row>
    <row r="111" spans="1:43"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row>
    <row r="112" spans="1:43"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row>
    <row r="113" spans="1:43"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row>
    <row r="114" spans="1:43"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row>
    <row r="115" spans="1:43"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row>
    <row r="116" spans="1:43"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row>
    <row r="117" spans="1:43"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row>
    <row r="118" spans="1:43"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row>
    <row r="119" spans="1:43"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row>
    <row r="120" spans="1:43"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row>
    <row r="121" spans="1:43"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row>
    <row r="122" spans="1:43"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row>
    <row r="123" spans="1:43"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row>
    <row r="124" spans="1:43"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row>
    <row r="125" spans="1:43"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row>
    <row r="126" spans="1:43"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row>
    <row r="127" spans="1:43"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row>
    <row r="128" spans="1:43"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row>
    <row r="129" spans="1:43"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row>
    <row r="130" spans="1:43"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row>
    <row r="131" spans="1:43"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row>
    <row r="132" spans="1:43"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row>
    <row r="133" spans="1:43"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row>
    <row r="134" spans="1:43"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row>
    <row r="135" spans="1:43"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row>
    <row r="136" spans="1:43"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row>
    <row r="137" spans="1:43"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row>
    <row r="138" spans="1:43"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row>
    <row r="139" spans="1:43"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row>
    <row r="140" spans="1:43"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row>
    <row r="141" spans="1:43"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row>
    <row r="142" spans="1:43"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row>
    <row r="143" spans="1:43"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row>
    <row r="144" spans="1:43"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row>
    <row r="145" spans="1:43"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row>
    <row r="146" spans="1:43" x14ac:dyDescent="0.2">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row>
    <row r="147" spans="1:43" x14ac:dyDescent="0.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row>
    <row r="148" spans="1:43" x14ac:dyDescent="0.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row>
    <row r="149" spans="1:43" x14ac:dyDescent="0.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row>
    <row r="150" spans="1:43"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row>
    <row r="151" spans="1:43" x14ac:dyDescent="0.2">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row>
    <row r="152" spans="1:43" x14ac:dyDescent="0.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row>
    <row r="153" spans="1:43" x14ac:dyDescent="0.2">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row>
    <row r="154" spans="1:43" x14ac:dyDescent="0.2">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Flat Debt Model</vt:lpstr>
      <vt:lpstr>Visuals</vt:lpstr>
      <vt:lpstr>Sculpted Debt</vt:lpstr>
      <vt:lpstr>ITC+MACRS Added</vt:lpstr>
      <vt:lpstr>+PPA End Merchant Price Added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Sasha Abramsky</dc:creator>
  <cp:lastModifiedBy>Sasha Abramsky</cp:lastModifiedBy>
  <dcterms:created xsi:type="dcterms:W3CDTF">2026-08-17T16:10:45Z</dcterms:created>
  <dcterms:modified xsi:type="dcterms:W3CDTF">2026-09-08T23:23:22Z</dcterms:modified>
</cp:coreProperties>
</file>
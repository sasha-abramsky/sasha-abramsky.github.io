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haabramsky/Downloads/"/>
    </mc:Choice>
  </mc:AlternateContent>
  <xr:revisionPtr revIDLastSave="0" documentId="13_ncr:1_{32A6A35B-52A5-E648-8523-91F9D83845D1}" xr6:coauthVersionLast="47" xr6:coauthVersionMax="47" xr10:uidLastSave="{00000000-0000-0000-0000-000000000000}"/>
  <bookViews>
    <workbookView xWindow="14900" yWindow="760" windowWidth="14500" windowHeight="16660" activeTab="1" xr2:uid="{9077DA3D-BE15-F74C-B7C7-6EA4A04F01A0}"/>
  </bookViews>
  <sheets>
    <sheet name="Prompt" sheetId="1" r:id="rId1"/>
    <sheet name="Room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1" i="2" l="1"/>
  <c r="B40" i="2"/>
  <c r="C26" i="2"/>
  <c r="C27" i="2" s="1"/>
  <c r="C18" i="2"/>
  <c r="C19" i="2" s="1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C14" i="2"/>
  <c r="C20" i="2" s="1"/>
  <c r="D14" i="2"/>
  <c r="D20" i="2" s="1"/>
  <c r="E14" i="2"/>
  <c r="E20" i="2" s="1"/>
  <c r="F14" i="2"/>
  <c r="F20" i="2" s="1"/>
  <c r="G14" i="2"/>
  <c r="G20" i="2" s="1"/>
  <c r="H14" i="2"/>
  <c r="H20" i="2" s="1"/>
  <c r="I14" i="2"/>
  <c r="I20" i="2" s="1"/>
  <c r="J14" i="2"/>
  <c r="J20" i="2" s="1"/>
  <c r="K14" i="2"/>
  <c r="K20" i="2" s="1"/>
  <c r="L14" i="2"/>
  <c r="L20" i="2" s="1"/>
  <c r="M14" i="2"/>
  <c r="M20" i="2" s="1"/>
  <c r="N14" i="2"/>
  <c r="N20" i="2" s="1"/>
  <c r="O14" i="2"/>
  <c r="O20" i="2" s="1"/>
  <c r="P14" i="2"/>
  <c r="P20" i="2" s="1"/>
  <c r="B15" i="2"/>
  <c r="B14" i="2"/>
  <c r="C12" i="2"/>
  <c r="D12" i="2" s="1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C21" i="2" l="1"/>
  <c r="C23" i="2" s="1"/>
  <c r="D18" i="2" s="1"/>
  <c r="D19" i="2" s="1"/>
  <c r="D21" i="2" s="1"/>
  <c r="C22" i="2" l="1"/>
  <c r="C28" i="2" s="1"/>
  <c r="E17" i="2"/>
  <c r="D22" i="2"/>
  <c r="D28" i="2" s="1"/>
  <c r="F17" i="2"/>
  <c r="D23" i="2"/>
  <c r="C29" i="2" l="1"/>
  <c r="C30" i="2" s="1"/>
  <c r="E18" i="2"/>
  <c r="E19" i="2"/>
  <c r="E21" i="2" s="1"/>
  <c r="C31" i="2" l="1"/>
  <c r="D26" i="2" s="1"/>
  <c r="G25" i="2"/>
  <c r="E22" i="2"/>
  <c r="E28" i="2" s="1"/>
  <c r="G17" i="2"/>
  <c r="E23" i="2"/>
  <c r="F18" i="2" s="1"/>
  <c r="D27" i="2" l="1"/>
  <c r="D29" i="2" s="1"/>
  <c r="D31" i="2"/>
  <c r="E26" i="2" s="1"/>
  <c r="F19" i="2"/>
  <c r="F21" i="2" s="1"/>
  <c r="E27" i="2" l="1"/>
  <c r="E29" i="2" s="1"/>
  <c r="E31" i="2" s="1"/>
  <c r="F26" i="2" s="1"/>
  <c r="D30" i="2"/>
  <c r="H25" i="2"/>
  <c r="F22" i="2"/>
  <c r="F28" i="2" s="1"/>
  <c r="H17" i="2"/>
  <c r="F23" i="2"/>
  <c r="G18" i="2" s="1"/>
  <c r="F27" i="2" l="1"/>
  <c r="F29" i="2" s="1"/>
  <c r="F31" i="2"/>
  <c r="G26" i="2" s="1"/>
  <c r="I25" i="2"/>
  <c r="E30" i="2"/>
  <c r="G19" i="2"/>
  <c r="G21" i="2" s="1"/>
  <c r="G27" i="2" l="1"/>
  <c r="F30" i="2"/>
  <c r="J25" i="2"/>
  <c r="G22" i="2"/>
  <c r="G28" i="2" s="1"/>
  <c r="I17" i="2"/>
  <c r="G23" i="2"/>
  <c r="H18" i="2" s="1"/>
  <c r="H19" i="2" s="1"/>
  <c r="H21" i="2" s="1"/>
  <c r="G29" i="2" l="1"/>
  <c r="H22" i="2"/>
  <c r="H28" i="2" s="1"/>
  <c r="J17" i="2"/>
  <c r="H23" i="2"/>
  <c r="I18" i="2" s="1"/>
  <c r="I19" i="2" s="1"/>
  <c r="I21" i="2" s="1"/>
  <c r="G30" i="2" l="1"/>
  <c r="K25" i="2"/>
  <c r="G31" i="2"/>
  <c r="H26" i="2" s="1"/>
  <c r="I22" i="2"/>
  <c r="I28" i="2" s="1"/>
  <c r="K17" i="2"/>
  <c r="I23" i="2"/>
  <c r="J18" i="2" s="1"/>
  <c r="J19" i="2" s="1"/>
  <c r="J21" i="2" s="1"/>
  <c r="H27" i="2" l="1"/>
  <c r="H29" i="2" s="1"/>
  <c r="H31" i="2"/>
  <c r="I26" i="2" s="1"/>
  <c r="J22" i="2"/>
  <c r="J28" i="2" s="1"/>
  <c r="L17" i="2"/>
  <c r="J23" i="2"/>
  <c r="K18" i="2" s="1"/>
  <c r="I27" i="2" l="1"/>
  <c r="I29" i="2" s="1"/>
  <c r="I31" i="2" s="1"/>
  <c r="J26" i="2" s="1"/>
  <c r="H30" i="2"/>
  <c r="L25" i="2"/>
  <c r="K19" i="2"/>
  <c r="K21" i="2" s="1"/>
  <c r="J27" i="2" l="1"/>
  <c r="J29" i="2" s="1"/>
  <c r="M25" i="2"/>
  <c r="I30" i="2"/>
  <c r="K22" i="2"/>
  <c r="K28" i="2" s="1"/>
  <c r="M17" i="2"/>
  <c r="K23" i="2"/>
  <c r="L18" i="2" s="1"/>
  <c r="N25" i="2" l="1"/>
  <c r="J30" i="2"/>
  <c r="J31" i="2"/>
  <c r="K26" i="2" s="1"/>
  <c r="L19" i="2"/>
  <c r="L21" i="2" s="1"/>
  <c r="K27" i="2" l="1"/>
  <c r="K29" i="2" s="1"/>
  <c r="K31" i="2"/>
  <c r="L26" i="2" s="1"/>
  <c r="L22" i="2"/>
  <c r="L28" i="2" s="1"/>
  <c r="N17" i="2"/>
  <c r="L23" i="2"/>
  <c r="M18" i="2" s="1"/>
  <c r="L27" i="2" l="1"/>
  <c r="L29" i="2" s="1"/>
  <c r="P25" i="2" s="1"/>
  <c r="L31" i="2"/>
  <c r="M26" i="2" s="1"/>
  <c r="L30" i="2"/>
  <c r="O25" i="2"/>
  <c r="K30" i="2"/>
  <c r="M19" i="2"/>
  <c r="M21" i="2" s="1"/>
  <c r="M27" i="2" l="1"/>
  <c r="M22" i="2"/>
  <c r="M28" i="2" s="1"/>
  <c r="O17" i="2"/>
  <c r="M23" i="2"/>
  <c r="N18" i="2" s="1"/>
  <c r="M29" i="2" l="1"/>
  <c r="N19" i="2"/>
  <c r="N21" i="2" s="1"/>
  <c r="M30" i="2" l="1"/>
  <c r="M31" i="2"/>
  <c r="N26" i="2" s="1"/>
  <c r="N22" i="2"/>
  <c r="N28" i="2" s="1"/>
  <c r="P17" i="2"/>
  <c r="N23" i="2"/>
  <c r="O18" i="2" s="1"/>
  <c r="O19" i="2" s="1"/>
  <c r="O21" i="2" s="1"/>
  <c r="O22" i="2" s="1"/>
  <c r="O28" i="2" s="1"/>
  <c r="N27" i="2" l="1"/>
  <c r="N29" i="2" s="1"/>
  <c r="N30" i="2" s="1"/>
  <c r="N31" i="2"/>
  <c r="O26" i="2" s="1"/>
  <c r="O23" i="2"/>
  <c r="P18" i="2" s="1"/>
  <c r="P19" i="2" s="1"/>
  <c r="P21" i="2" s="1"/>
  <c r="P22" i="2" s="1"/>
  <c r="P28" i="2" s="1"/>
  <c r="O27" i="2" l="1"/>
  <c r="O29" i="2" s="1"/>
  <c r="O30" i="2" s="1"/>
  <c r="P23" i="2"/>
  <c r="O31" i="2" l="1"/>
  <c r="P26" i="2" s="1"/>
  <c r="P27" i="2" l="1"/>
  <c r="P29" i="2" s="1"/>
  <c r="P30" i="2" s="1"/>
  <c r="B38" i="2" s="1"/>
  <c r="B39" i="2" s="1"/>
  <c r="B42" i="2" s="1"/>
  <c r="P31" i="2"/>
</calcChain>
</file>

<file path=xl/sharedStrings.xml><?xml version="1.0" encoding="utf-8"?>
<sst xmlns="http://schemas.openxmlformats.org/spreadsheetml/2006/main" count="48" uniqueCount="45">
  <si>
    <t>Practice Puzzle: Meridian Certification Testing Center</t>
  </si>
  <si>
    <t>45 minutes, blank Excel sheet, no notes from the other two puzzles. Build it, answer the questions, and prepare 3-4 bullet points as if presenting findings to a director.</t>
  </si>
  <si>
    <t>Setup:</t>
  </si>
  <si>
    <r>
      <t xml:space="preserve">Meridian runs a 14-hour certification testing day across two rooms. Every hour, arriving candidates are split by exam type: </t>
    </r>
    <r>
      <rPr>
        <b/>
        <sz val="12"/>
        <color theme="1"/>
        <rFont val="Aptos Narrow"/>
        <family val="2"/>
        <scheme val="minor"/>
      </rPr>
      <t>two-thirds are Standard candidates</t>
    </r>
    <r>
      <rPr>
        <sz val="12"/>
        <color theme="1"/>
        <rFont val="Aptos Narrow"/>
        <family val="2"/>
        <scheme val="minor"/>
      </rPr>
      <t xml:space="preserve">, assigned to </t>
    </r>
    <r>
      <rPr>
        <b/>
        <sz val="12"/>
        <color theme="1"/>
        <rFont val="Aptos Narrow"/>
        <family val="2"/>
        <scheme val="minor"/>
      </rPr>
      <t>Room 1</t>
    </r>
    <r>
      <rPr>
        <sz val="12"/>
        <color theme="1"/>
        <rFont val="Aptos Narrow"/>
        <family val="2"/>
        <scheme val="minor"/>
      </rPr>
      <t xml:space="preserve">. </t>
    </r>
    <r>
      <rPr>
        <b/>
        <sz val="12"/>
        <color theme="1"/>
        <rFont val="Aptos Narrow"/>
        <family val="2"/>
        <scheme val="minor"/>
      </rPr>
      <t>One-third require Extended Time accommodations</t>
    </r>
    <r>
      <rPr>
        <sz val="12"/>
        <color theme="1"/>
        <rFont val="Aptos Narrow"/>
        <family val="2"/>
        <scheme val="minor"/>
      </rPr>
      <t xml:space="preserve">, assigned directly to </t>
    </r>
    <r>
      <rPr>
        <b/>
        <sz val="12"/>
        <color theme="1"/>
        <rFont val="Aptos Narrow"/>
        <family val="2"/>
        <scheme val="minor"/>
      </rPr>
      <t>Room 2</t>
    </r>
    <r>
      <rPr>
        <sz val="12"/>
        <color theme="1"/>
        <rFont val="Aptos Narrow"/>
        <family val="2"/>
        <scheme val="minor"/>
      </rPr>
      <t>.</t>
    </r>
  </si>
  <si>
    <r>
      <t>Room 1 capacity:</t>
    </r>
    <r>
      <rPr>
        <sz val="12"/>
        <color theme="1"/>
        <rFont val="Aptos Narrow"/>
        <family val="2"/>
        <scheme val="minor"/>
      </rPr>
      <t xml:space="preserve"> 18 seats. </t>
    </r>
    <r>
      <rPr>
        <b/>
        <sz val="12"/>
        <color theme="1"/>
        <rFont val="Aptos Narrow"/>
        <family val="2"/>
        <scheme val="minor"/>
      </rPr>
      <t>Exam duration:</t>
    </r>
    <r>
      <rPr>
        <sz val="12"/>
        <color theme="1"/>
        <rFont val="Aptos Narrow"/>
        <family val="2"/>
        <scheme val="minor"/>
      </rPr>
      <t xml:space="preserve"> 2 hours.</t>
    </r>
  </si>
  <si>
    <r>
      <t>Room 2 capacity:</t>
    </r>
    <r>
      <rPr>
        <sz val="12"/>
        <color theme="1"/>
        <rFont val="Aptos Narrow"/>
        <family val="2"/>
        <scheme val="minor"/>
      </rPr>
      <t xml:space="preserve"> 6 seats. </t>
    </r>
    <r>
      <rPr>
        <b/>
        <sz val="12"/>
        <color theme="1"/>
        <rFont val="Aptos Narrow"/>
        <family val="2"/>
        <scheme val="minor"/>
      </rPr>
      <t>Exam duration:</t>
    </r>
    <r>
      <rPr>
        <sz val="12"/>
        <color theme="1"/>
        <rFont val="Aptos Narrow"/>
        <family val="2"/>
        <scheme val="minor"/>
      </rPr>
      <t xml:space="preserve"> 4 hours (extended time accommodations take longer).</t>
    </r>
  </si>
  <si>
    <t>Both rooms start empty at Hour 0.</t>
  </si>
  <si>
    <t>Candidate arrivals, Hours 1–14:</t>
  </si>
  <si>
    <t>Hour</t>
  </si>
  <si>
    <t>Arrivals</t>
  </si>
  <si>
    <t>Rules:</t>
  </si>
  <si>
    <t>Each hour, two-thirds of arriving candidates (rounded) attempt to enter Room 1; the remaining one-third attempt Room 2 directly.</t>
  </si>
  <si>
    <t>If Room 1 doesn't have enough open seats, the excess Standard candidates are redirected to Room 2 instead — proctors there can administer either exam type.</t>
  </si>
  <si>
    <r>
      <t xml:space="preserve">Room 2 that hour then faces total demand of: its own direct one-third arrivals, plus whatever got redirected from Room 1. If Room 2 doesn't have room for all of that, the excess candidates must be </t>
    </r>
    <r>
      <rPr>
        <b/>
        <sz val="12"/>
        <color theme="1"/>
        <rFont val="Aptos Narrow"/>
        <family val="2"/>
        <scheme val="minor"/>
      </rPr>
      <t>turned away and rescheduled for next week</t>
    </r>
    <r>
      <rPr>
        <sz val="12"/>
        <color theme="1"/>
        <rFont val="Aptos Narrow"/>
        <family val="2"/>
        <scheme val="minor"/>
      </rPr>
      <t xml:space="preserve"> — a cost of </t>
    </r>
    <r>
      <rPr>
        <b/>
        <sz val="12"/>
        <color theme="1"/>
        <rFont val="Aptos Narrow"/>
        <family val="2"/>
        <scheme val="minor"/>
      </rPr>
      <t>$400 per rescheduled candidate</t>
    </r>
    <r>
      <rPr>
        <sz val="12"/>
        <color theme="1"/>
        <rFont val="Aptos Narrow"/>
        <family val="2"/>
        <scheme val="minor"/>
      </rPr>
      <t>, covering admin overhead and customer satisfaction impact.</t>
    </r>
  </si>
  <si>
    <r>
      <t xml:space="preserve">Building more seats is a one-time cost: </t>
    </r>
    <r>
      <rPr>
        <b/>
        <sz val="12"/>
        <color theme="1"/>
        <rFont val="Aptos Narrow"/>
        <family val="2"/>
        <scheme val="minor"/>
      </rPr>
      <t>$1,200 per seat in Room 1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$2,500 per seat in Room 2</t>
    </r>
    <r>
      <rPr>
        <sz val="12"/>
        <color theme="1"/>
        <rFont val="Aptos Narrow"/>
        <family val="2"/>
        <scheme val="minor"/>
      </rPr>
      <t xml:space="preserve"> (extended-time rooms require more specialized equipment).</t>
    </r>
  </si>
  <si>
    <t>Inputs</t>
  </si>
  <si>
    <t>Room 1 Capcity</t>
  </si>
  <si>
    <t>Room 2 Capacity</t>
  </si>
  <si>
    <t xml:space="preserve">Room 1 Exam Duration </t>
  </si>
  <si>
    <t xml:space="preserve">Room 2 Exam Duration </t>
  </si>
  <si>
    <t>Reschedule Charge</t>
  </si>
  <si>
    <t>Model</t>
  </si>
  <si>
    <t>Attempted Arrivals Room 1</t>
  </si>
  <si>
    <t>Attempted Arrivals Room 2</t>
  </si>
  <si>
    <t>Room A Departures</t>
  </si>
  <si>
    <t>Room A Start (post-departures)</t>
  </si>
  <si>
    <t>Room A Available Capacity</t>
  </si>
  <si>
    <t>Room A Demand</t>
  </si>
  <si>
    <t>Room A Overflow to B</t>
  </si>
  <si>
    <t>Room A End</t>
  </si>
  <si>
    <t>Room B Departures</t>
  </si>
  <si>
    <t>Room B Start (post-departures)</t>
  </si>
  <si>
    <t>Room B Available Capacity</t>
  </si>
  <si>
    <t>Room B Demand</t>
  </si>
  <si>
    <t>Room B Overflow to Reschedule</t>
  </si>
  <si>
    <t>Room B End</t>
  </si>
  <si>
    <t>Expenses</t>
  </si>
  <si>
    <t>Amount Rescheduled</t>
  </si>
  <si>
    <t>Room A Actual Intake</t>
  </si>
  <si>
    <t>Rom B Actual Intake</t>
  </si>
  <si>
    <t>Capacity Fee A</t>
  </si>
  <si>
    <t>Capacity Fee B</t>
  </si>
  <si>
    <t>Capacity Fee Room 1 (per chair)</t>
  </si>
  <si>
    <t>Capacity Fee Room 2 (per chair)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</si>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</sst>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FF"/>
      <name val="Aptos Narrow"/>
      <family val="2"/>
      <scheme val="minor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0" fillId="0" borderId="1" xfId="0" applyBorder="1"/>
    <xf numFmtId="0" fontId="6" fillId="3" borderId="1" xfId="0" applyFont="1" applyFill="1" applyBorder="1"/>
    <xf numFmtId="44" fontId="6" fillId="3" borderId="1" xfId="1" applyFont="1" applyFill="1" applyBorder="1"/>
    <xf numFmtId="0" fontId="5" fillId="4" borderId="0" xfId="0" applyFont="1" applyFill="1"/>
    <xf numFmtId="1" fontId="0" fillId="0" borderId="0" xfId="0" applyNumberFormat="1"/>
    <xf numFmtId="1" fontId="7" fillId="5" borderId="1" xfId="0" applyNumberFormat="1" applyFont="1" applyFill="1" applyBorder="1"/>
    <xf numFmtId="1" fontId="0" fillId="3" borderId="1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5" fillId="2" borderId="0" xfId="0" applyNumberFormat="1" applyFont="1" applyFill="1"/>
    <xf numFmtId="1" fontId="5" fillId="0" borderId="1" xfId="0" applyNumberFormat="1" applyFont="1" applyBorder="1"/>
    <xf numFmtId="44" fontId="5" fillId="0" borderId="1" xfId="1" applyFont="1" applyBorder="1"/>
    <xf numFmtId="0" fontId="5" fillId="0" borderId="1" xfId="0" applyFont="1" applyBorder="1"/>
    <xf numFmtId="44" fontId="0" fillId="3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D3EE-CA5E-4E44-BB77-959D71319D0C}">
  <dimension ref="A1:O24"/>
  <sheetViews>
    <sheetView workbookViewId="0">
      <selection activeCell="G27" sqref="G27"/>
    </sheetView>
  </sheetViews>
  <sheetFormatPr baseColWidth="10" defaultRowHeight="16" x14ac:dyDescent="0.2"/>
  <sheetData>
    <row r="1" spans="1:15" ht="19" x14ac:dyDescent="0.25">
      <c r="A1" s="1" t="s">
        <v>0</v>
      </c>
    </row>
    <row r="3" spans="1:15" x14ac:dyDescent="0.2">
      <c r="A3" s="2" t="s">
        <v>1</v>
      </c>
    </row>
    <row r="5" spans="1:15" x14ac:dyDescent="0.2">
      <c r="A5" s="3" t="s">
        <v>2</v>
      </c>
    </row>
    <row r="6" spans="1:15" x14ac:dyDescent="0.2">
      <c r="A6" t="s">
        <v>3</v>
      </c>
    </row>
    <row r="8" spans="1:15" x14ac:dyDescent="0.2">
      <c r="A8" s="3" t="s">
        <v>4</v>
      </c>
    </row>
    <row r="9" spans="1:15" x14ac:dyDescent="0.2">
      <c r="A9" s="3" t="s">
        <v>5</v>
      </c>
    </row>
    <row r="10" spans="1:15" x14ac:dyDescent="0.2">
      <c r="A10" t="s">
        <v>6</v>
      </c>
    </row>
    <row r="12" spans="1:15" x14ac:dyDescent="0.2">
      <c r="A12" s="3" t="s">
        <v>7</v>
      </c>
    </row>
    <row r="14" spans="1:15" x14ac:dyDescent="0.2">
      <c r="A14" s="3" t="s">
        <v>8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  <c r="G14" s="3">
        <v>6</v>
      </c>
      <c r="H14" s="3">
        <v>7</v>
      </c>
      <c r="I14" s="3">
        <v>8</v>
      </c>
      <c r="J14" s="3">
        <v>9</v>
      </c>
      <c r="K14" s="3">
        <v>10</v>
      </c>
      <c r="L14" s="3">
        <v>11</v>
      </c>
      <c r="M14" s="3">
        <v>12</v>
      </c>
      <c r="N14" s="3">
        <v>13</v>
      </c>
      <c r="O14" s="3">
        <v>14</v>
      </c>
    </row>
    <row r="15" spans="1:15" x14ac:dyDescent="0.2">
      <c r="A15" t="s">
        <v>9</v>
      </c>
      <c r="B15">
        <v>3</v>
      </c>
      <c r="C15">
        <v>3</v>
      </c>
      <c r="D15">
        <v>3</v>
      </c>
      <c r="E15">
        <v>4</v>
      </c>
      <c r="F15">
        <v>4</v>
      </c>
      <c r="G15">
        <v>4</v>
      </c>
      <c r="H15">
        <v>5</v>
      </c>
      <c r="I15">
        <v>5</v>
      </c>
      <c r="J15">
        <v>5</v>
      </c>
      <c r="K15">
        <v>6</v>
      </c>
      <c r="L15">
        <v>7</v>
      </c>
      <c r="M15">
        <v>8</v>
      </c>
      <c r="N15">
        <v>8</v>
      </c>
      <c r="O15">
        <v>6</v>
      </c>
    </row>
    <row r="17" spans="1:1" x14ac:dyDescent="0.2">
      <c r="A17" s="3" t="s">
        <v>10</v>
      </c>
    </row>
    <row r="19" spans="1:1" x14ac:dyDescent="0.2">
      <c r="A19" t="s">
        <v>11</v>
      </c>
    </row>
    <row r="20" spans="1:1" x14ac:dyDescent="0.2">
      <c r="A20" t="s">
        <v>12</v>
      </c>
    </row>
    <row r="21" spans="1:1" x14ac:dyDescent="0.2">
      <c r="A21" t="s">
        <v>13</v>
      </c>
    </row>
    <row r="22" spans="1:1" x14ac:dyDescent="0.2">
      <c r="A22" t="s">
        <v>14</v>
      </c>
    </row>
    <row r="24" spans="1:1" x14ac:dyDescent="0.2">
      <c r="A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7553-602F-BC4D-9310-CA23286C9807}">
  <dimension ref="A1:T42"/>
  <sheetViews>
    <sheetView tabSelected="1" topLeftCell="A2" workbookViewId="0">
      <selection activeCell="D11" sqref="D11"/>
    </sheetView>
  </sheetViews>
  <sheetFormatPr baseColWidth="10" defaultRowHeight="16" x14ac:dyDescent="0.2"/>
  <cols>
    <col min="1" max="1" width="26.83203125" customWidth="1"/>
    <col min="2" max="2" width="11.5" bestFit="1" customWidth="1"/>
  </cols>
  <sheetData>
    <row r="1" spans="1:20" x14ac:dyDescent="0.2">
      <c r="A1" s="4" t="s">
        <v>15</v>
      </c>
    </row>
    <row r="2" spans="1:20" x14ac:dyDescent="0.2">
      <c r="A2" s="5" t="s">
        <v>16</v>
      </c>
      <c r="B2" s="6">
        <v>18</v>
      </c>
    </row>
    <row r="3" spans="1:20" x14ac:dyDescent="0.2">
      <c r="A3" s="5" t="s">
        <v>17</v>
      </c>
      <c r="B3" s="6">
        <v>6</v>
      </c>
    </row>
    <row r="4" spans="1:20" x14ac:dyDescent="0.2">
      <c r="A4" s="5" t="s">
        <v>18</v>
      </c>
      <c r="B4" s="6">
        <v>2</v>
      </c>
    </row>
    <row r="5" spans="1:20" x14ac:dyDescent="0.2">
      <c r="A5" s="5" t="s">
        <v>19</v>
      </c>
      <c r="B5" s="6">
        <v>4</v>
      </c>
    </row>
    <row r="6" spans="1:20" x14ac:dyDescent="0.2">
      <c r="A6" s="5" t="s">
        <v>20</v>
      </c>
      <c r="B6" s="7">
        <v>400</v>
      </c>
    </row>
    <row r="7" spans="1:20" x14ac:dyDescent="0.2">
      <c r="A7" s="5" t="s">
        <v>42</v>
      </c>
      <c r="B7" s="7">
        <v>1200</v>
      </c>
    </row>
    <row r="8" spans="1:20" x14ac:dyDescent="0.2">
      <c r="A8" s="5" t="s">
        <v>43</v>
      </c>
      <c r="B8" s="7">
        <v>2500</v>
      </c>
    </row>
    <row r="11" spans="1:20" x14ac:dyDescent="0.2">
      <c r="A11" s="8" t="s">
        <v>21</v>
      </c>
    </row>
    <row r="12" spans="1:20" x14ac:dyDescent="0.2">
      <c r="A12" s="10" t="s">
        <v>8</v>
      </c>
      <c r="B12" s="10">
        <v>0</v>
      </c>
      <c r="C12" s="10">
        <f>B12+1</f>
        <v>1</v>
      </c>
      <c r="D12" s="10">
        <f t="shared" ref="D12:P12" si="0">C12+1</f>
        <v>2</v>
      </c>
      <c r="E12" s="10">
        <f t="shared" si="0"/>
        <v>3</v>
      </c>
      <c r="F12" s="10">
        <f t="shared" si="0"/>
        <v>4</v>
      </c>
      <c r="G12" s="10">
        <f t="shared" si="0"/>
        <v>5</v>
      </c>
      <c r="H12" s="10">
        <f t="shared" si="0"/>
        <v>6</v>
      </c>
      <c r="I12" s="10">
        <f t="shared" si="0"/>
        <v>7</v>
      </c>
      <c r="J12" s="10">
        <f t="shared" si="0"/>
        <v>8</v>
      </c>
      <c r="K12" s="10">
        <f t="shared" si="0"/>
        <v>9</v>
      </c>
      <c r="L12" s="10">
        <f t="shared" si="0"/>
        <v>10</v>
      </c>
      <c r="M12" s="10">
        <f t="shared" si="0"/>
        <v>11</v>
      </c>
      <c r="N12" s="10">
        <f t="shared" si="0"/>
        <v>12</v>
      </c>
      <c r="O12" s="10">
        <f t="shared" si="0"/>
        <v>13</v>
      </c>
      <c r="P12" s="10">
        <f t="shared" si="0"/>
        <v>14</v>
      </c>
      <c r="Q12" s="9"/>
      <c r="R12" s="9"/>
      <c r="S12" s="9"/>
      <c r="T12" s="9"/>
    </row>
    <row r="13" spans="1:20" x14ac:dyDescent="0.2">
      <c r="A13" s="11" t="s">
        <v>9</v>
      </c>
      <c r="B13" s="11">
        <v>0</v>
      </c>
      <c r="C13" s="11">
        <v>3</v>
      </c>
      <c r="D13" s="11">
        <v>3</v>
      </c>
      <c r="E13" s="11">
        <v>3</v>
      </c>
      <c r="F13" s="11">
        <v>4</v>
      </c>
      <c r="G13" s="11">
        <v>4</v>
      </c>
      <c r="H13" s="11">
        <v>4</v>
      </c>
      <c r="I13" s="11">
        <v>5</v>
      </c>
      <c r="J13" s="11">
        <v>5</v>
      </c>
      <c r="K13" s="11">
        <v>5</v>
      </c>
      <c r="L13" s="11">
        <v>6</v>
      </c>
      <c r="M13" s="11">
        <v>7</v>
      </c>
      <c r="N13" s="11">
        <v>8</v>
      </c>
      <c r="O13" s="11">
        <v>8</v>
      </c>
      <c r="P13" s="11">
        <v>6</v>
      </c>
      <c r="Q13" s="9"/>
      <c r="R13" s="9"/>
      <c r="S13" s="9"/>
      <c r="T13" s="9"/>
    </row>
    <row r="14" spans="1:20" x14ac:dyDescent="0.2">
      <c r="A14" s="12" t="s">
        <v>22</v>
      </c>
      <c r="B14" s="12">
        <f>B13*(2/3)</f>
        <v>0</v>
      </c>
      <c r="C14" s="12">
        <f t="shared" ref="C14:P14" si="1">C13*(2/3)</f>
        <v>2</v>
      </c>
      <c r="D14" s="12">
        <f t="shared" si="1"/>
        <v>2</v>
      </c>
      <c r="E14" s="12">
        <f t="shared" si="1"/>
        <v>2</v>
      </c>
      <c r="F14" s="12">
        <f t="shared" si="1"/>
        <v>2.6666666666666665</v>
      </c>
      <c r="G14" s="12">
        <f t="shared" si="1"/>
        <v>2.6666666666666665</v>
      </c>
      <c r="H14" s="12">
        <f t="shared" si="1"/>
        <v>2.6666666666666665</v>
      </c>
      <c r="I14" s="12">
        <f t="shared" si="1"/>
        <v>3.333333333333333</v>
      </c>
      <c r="J14" s="12">
        <f t="shared" si="1"/>
        <v>3.333333333333333</v>
      </c>
      <c r="K14" s="12">
        <f t="shared" si="1"/>
        <v>3.333333333333333</v>
      </c>
      <c r="L14" s="12">
        <f t="shared" si="1"/>
        <v>4</v>
      </c>
      <c r="M14" s="12">
        <f t="shared" si="1"/>
        <v>4.6666666666666661</v>
      </c>
      <c r="N14" s="12">
        <f t="shared" si="1"/>
        <v>5.333333333333333</v>
      </c>
      <c r="O14" s="12">
        <f t="shared" si="1"/>
        <v>5.333333333333333</v>
      </c>
      <c r="P14" s="12">
        <f t="shared" si="1"/>
        <v>4</v>
      </c>
      <c r="Q14" s="9"/>
      <c r="R14" s="9"/>
      <c r="S14" s="9"/>
      <c r="T14" s="9"/>
    </row>
    <row r="15" spans="1:20" x14ac:dyDescent="0.2">
      <c r="A15" s="13" t="s">
        <v>23</v>
      </c>
      <c r="B15" s="13">
        <f>B13*(1/3)</f>
        <v>0</v>
      </c>
      <c r="C15" s="13">
        <f t="shared" ref="C15:P15" si="2">C13*(1/3)</f>
        <v>1</v>
      </c>
      <c r="D15" s="13">
        <f t="shared" si="2"/>
        <v>1</v>
      </c>
      <c r="E15" s="13">
        <f t="shared" si="2"/>
        <v>1</v>
      </c>
      <c r="F15" s="13">
        <f t="shared" si="2"/>
        <v>1.3333333333333333</v>
      </c>
      <c r="G15" s="13">
        <f t="shared" si="2"/>
        <v>1.3333333333333333</v>
      </c>
      <c r="H15" s="13">
        <f t="shared" si="2"/>
        <v>1.3333333333333333</v>
      </c>
      <c r="I15" s="13">
        <f t="shared" si="2"/>
        <v>1.6666666666666665</v>
      </c>
      <c r="J15" s="13">
        <f t="shared" si="2"/>
        <v>1.6666666666666665</v>
      </c>
      <c r="K15" s="13">
        <f t="shared" si="2"/>
        <v>1.6666666666666665</v>
      </c>
      <c r="L15" s="13">
        <f t="shared" si="2"/>
        <v>2</v>
      </c>
      <c r="M15" s="13">
        <f t="shared" si="2"/>
        <v>2.333333333333333</v>
      </c>
      <c r="N15" s="13">
        <f t="shared" si="2"/>
        <v>2.6666666666666665</v>
      </c>
      <c r="O15" s="13">
        <f t="shared" si="2"/>
        <v>2.6666666666666665</v>
      </c>
      <c r="P15" s="13">
        <f t="shared" si="2"/>
        <v>2</v>
      </c>
      <c r="Q15" s="9"/>
      <c r="R15" s="9"/>
      <c r="S15" s="9"/>
      <c r="T15" s="9"/>
    </row>
    <row r="16" spans="1:2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2">
      <c r="A17" s="14" t="s">
        <v>24</v>
      </c>
      <c r="B17" s="14">
        <v>0</v>
      </c>
      <c r="C17" s="14">
        <v>0</v>
      </c>
      <c r="D17" s="14">
        <v>0</v>
      </c>
      <c r="E17" s="14">
        <f>C21</f>
        <v>2</v>
      </c>
      <c r="F17" s="14">
        <f>D21</f>
        <v>2</v>
      </c>
      <c r="G17" s="14">
        <f t="shared" ref="G17:P17" si="3">E21</f>
        <v>2</v>
      </c>
      <c r="H17" s="14">
        <f t="shared" si="3"/>
        <v>2.6666666666666665</v>
      </c>
      <c r="I17" s="14">
        <f t="shared" si="3"/>
        <v>2.6666666666666665</v>
      </c>
      <c r="J17" s="14">
        <f t="shared" si="3"/>
        <v>2.6666666666666665</v>
      </c>
      <c r="K17" s="14">
        <f t="shared" si="3"/>
        <v>3.333333333333333</v>
      </c>
      <c r="L17" s="14">
        <f t="shared" si="3"/>
        <v>3.333333333333333</v>
      </c>
      <c r="M17" s="14">
        <f t="shared" si="3"/>
        <v>3.333333333333333</v>
      </c>
      <c r="N17" s="14">
        <f t="shared" si="3"/>
        <v>4</v>
      </c>
      <c r="O17" s="14">
        <f t="shared" si="3"/>
        <v>4.6666666666666661</v>
      </c>
      <c r="P17" s="14">
        <f t="shared" si="3"/>
        <v>5.333333333333333</v>
      </c>
      <c r="Q17" s="9"/>
      <c r="R17" s="9"/>
      <c r="S17" s="9"/>
      <c r="T17" s="9"/>
    </row>
    <row r="18" spans="1:20" x14ac:dyDescent="0.2">
      <c r="A18" s="12" t="s">
        <v>25</v>
      </c>
      <c r="B18" s="12"/>
      <c r="C18" s="12">
        <f>B23-C17</f>
        <v>0</v>
      </c>
      <c r="D18" s="12">
        <f t="shared" ref="D18:P18" si="4">C23-D17</f>
        <v>2</v>
      </c>
      <c r="E18" s="12">
        <f t="shared" si="4"/>
        <v>2</v>
      </c>
      <c r="F18" s="12">
        <f t="shared" si="4"/>
        <v>2</v>
      </c>
      <c r="G18" s="12">
        <f t="shared" si="4"/>
        <v>2.6666666666666661</v>
      </c>
      <c r="H18" s="12">
        <f t="shared" si="4"/>
        <v>2.6666666666666656</v>
      </c>
      <c r="I18" s="12">
        <f t="shared" si="4"/>
        <v>2.6666666666666656</v>
      </c>
      <c r="J18" s="12">
        <f t="shared" si="4"/>
        <v>3.3333333333333317</v>
      </c>
      <c r="K18" s="12">
        <f t="shared" si="4"/>
        <v>3.3333333333333313</v>
      </c>
      <c r="L18" s="12">
        <f t="shared" si="4"/>
        <v>3.3333333333333313</v>
      </c>
      <c r="M18" s="12">
        <f t="shared" si="4"/>
        <v>3.9999999999999982</v>
      </c>
      <c r="N18" s="12">
        <f t="shared" si="4"/>
        <v>4.6666666666666643</v>
      </c>
      <c r="O18" s="12">
        <f t="shared" si="4"/>
        <v>5.3333333333333304</v>
      </c>
      <c r="P18" s="12">
        <f t="shared" si="4"/>
        <v>5.3333333333333313</v>
      </c>
      <c r="Q18" s="9"/>
      <c r="R18" s="9"/>
      <c r="S18" s="9"/>
      <c r="T18" s="9"/>
    </row>
    <row r="19" spans="1:20" x14ac:dyDescent="0.2">
      <c r="A19" s="12" t="s">
        <v>26</v>
      </c>
      <c r="B19" s="12"/>
      <c r="C19" s="12">
        <f>$B$2-C18</f>
        <v>18</v>
      </c>
      <c r="D19" s="12">
        <f t="shared" ref="D19:P19" si="5">$B$2-D18</f>
        <v>16</v>
      </c>
      <c r="E19" s="12">
        <f t="shared" si="5"/>
        <v>16</v>
      </c>
      <c r="F19" s="12">
        <f t="shared" si="5"/>
        <v>16</v>
      </c>
      <c r="G19" s="12">
        <f t="shared" si="5"/>
        <v>15.333333333333334</v>
      </c>
      <c r="H19" s="12">
        <f t="shared" si="5"/>
        <v>15.333333333333334</v>
      </c>
      <c r="I19" s="12">
        <f t="shared" si="5"/>
        <v>15.333333333333334</v>
      </c>
      <c r="J19" s="12">
        <f t="shared" si="5"/>
        <v>14.666666666666668</v>
      </c>
      <c r="K19" s="12">
        <f t="shared" si="5"/>
        <v>14.666666666666668</v>
      </c>
      <c r="L19" s="12">
        <f t="shared" si="5"/>
        <v>14.666666666666668</v>
      </c>
      <c r="M19" s="12">
        <f t="shared" si="5"/>
        <v>14.000000000000002</v>
      </c>
      <c r="N19" s="12">
        <f t="shared" si="5"/>
        <v>13.333333333333336</v>
      </c>
      <c r="O19" s="12">
        <f t="shared" si="5"/>
        <v>12.66666666666667</v>
      </c>
      <c r="P19" s="12">
        <f t="shared" si="5"/>
        <v>12.666666666666668</v>
      </c>
      <c r="Q19" s="9"/>
      <c r="R19" s="9"/>
      <c r="S19" s="9"/>
      <c r="T19" s="9"/>
    </row>
    <row r="20" spans="1:20" x14ac:dyDescent="0.2">
      <c r="A20" s="12" t="s">
        <v>27</v>
      </c>
      <c r="B20" s="12"/>
      <c r="C20" s="12">
        <f>C14</f>
        <v>2</v>
      </c>
      <c r="D20" s="12">
        <f t="shared" ref="D20:P20" si="6">D14</f>
        <v>2</v>
      </c>
      <c r="E20" s="12">
        <f t="shared" si="6"/>
        <v>2</v>
      </c>
      <c r="F20" s="12">
        <f t="shared" si="6"/>
        <v>2.6666666666666665</v>
      </c>
      <c r="G20" s="12">
        <f t="shared" si="6"/>
        <v>2.6666666666666665</v>
      </c>
      <c r="H20" s="12">
        <f t="shared" si="6"/>
        <v>2.6666666666666665</v>
      </c>
      <c r="I20" s="12">
        <f t="shared" si="6"/>
        <v>3.333333333333333</v>
      </c>
      <c r="J20" s="12">
        <f t="shared" si="6"/>
        <v>3.333333333333333</v>
      </c>
      <c r="K20" s="12">
        <f t="shared" si="6"/>
        <v>3.333333333333333</v>
      </c>
      <c r="L20" s="12">
        <f t="shared" si="6"/>
        <v>4</v>
      </c>
      <c r="M20" s="12">
        <f t="shared" si="6"/>
        <v>4.6666666666666661</v>
      </c>
      <c r="N20" s="12">
        <f t="shared" si="6"/>
        <v>5.333333333333333</v>
      </c>
      <c r="O20" s="12">
        <f t="shared" si="6"/>
        <v>5.333333333333333</v>
      </c>
      <c r="P20" s="12">
        <f t="shared" si="6"/>
        <v>4</v>
      </c>
      <c r="Q20" s="9"/>
      <c r="R20" s="9"/>
      <c r="S20" s="9"/>
      <c r="T20" s="9"/>
    </row>
    <row r="21" spans="1:20" x14ac:dyDescent="0.2">
      <c r="A21" s="12" t="s">
        <v>38</v>
      </c>
      <c r="B21" s="12"/>
      <c r="C21" s="12">
        <f>MIN(C20,C19)</f>
        <v>2</v>
      </c>
      <c r="D21" s="12">
        <f t="shared" ref="D21:P21" si="7">MIN(D20,D19)</f>
        <v>2</v>
      </c>
      <c r="E21" s="12">
        <f t="shared" si="7"/>
        <v>2</v>
      </c>
      <c r="F21" s="12">
        <f t="shared" si="7"/>
        <v>2.6666666666666665</v>
      </c>
      <c r="G21" s="12">
        <f t="shared" si="7"/>
        <v>2.6666666666666665</v>
      </c>
      <c r="H21" s="12">
        <f t="shared" si="7"/>
        <v>2.6666666666666665</v>
      </c>
      <c r="I21" s="12">
        <f t="shared" si="7"/>
        <v>3.333333333333333</v>
      </c>
      <c r="J21" s="12">
        <f t="shared" si="7"/>
        <v>3.333333333333333</v>
      </c>
      <c r="K21" s="12">
        <f t="shared" si="7"/>
        <v>3.333333333333333</v>
      </c>
      <c r="L21" s="12">
        <f t="shared" si="7"/>
        <v>4</v>
      </c>
      <c r="M21" s="12">
        <f t="shared" si="7"/>
        <v>4.6666666666666661</v>
      </c>
      <c r="N21" s="12">
        <f t="shared" si="7"/>
        <v>5.333333333333333</v>
      </c>
      <c r="O21" s="12">
        <f t="shared" si="7"/>
        <v>5.333333333333333</v>
      </c>
      <c r="P21" s="12">
        <f t="shared" si="7"/>
        <v>4</v>
      </c>
      <c r="Q21" s="9"/>
      <c r="R21" s="9"/>
      <c r="S21" s="9"/>
      <c r="T21" s="9"/>
    </row>
    <row r="22" spans="1:20" x14ac:dyDescent="0.2">
      <c r="A22" s="12" t="s">
        <v>28</v>
      </c>
      <c r="B22" s="12"/>
      <c r="C22" s="12">
        <f>C20-C21</f>
        <v>0</v>
      </c>
      <c r="D22" s="12">
        <f t="shared" ref="D22:P22" si="8">D20-D21</f>
        <v>0</v>
      </c>
      <c r="E22" s="12">
        <f t="shared" si="8"/>
        <v>0</v>
      </c>
      <c r="F22" s="12">
        <f t="shared" si="8"/>
        <v>0</v>
      </c>
      <c r="G22" s="12">
        <f t="shared" si="8"/>
        <v>0</v>
      </c>
      <c r="H22" s="12">
        <f t="shared" si="8"/>
        <v>0</v>
      </c>
      <c r="I22" s="12">
        <f t="shared" si="8"/>
        <v>0</v>
      </c>
      <c r="J22" s="12">
        <f t="shared" si="8"/>
        <v>0</v>
      </c>
      <c r="K22" s="12">
        <f t="shared" si="8"/>
        <v>0</v>
      </c>
      <c r="L22" s="12">
        <f t="shared" si="8"/>
        <v>0</v>
      </c>
      <c r="M22" s="12">
        <f t="shared" si="8"/>
        <v>0</v>
      </c>
      <c r="N22" s="12">
        <f t="shared" si="8"/>
        <v>0</v>
      </c>
      <c r="O22" s="12">
        <f t="shared" si="8"/>
        <v>0</v>
      </c>
      <c r="P22" s="12">
        <f t="shared" si="8"/>
        <v>0</v>
      </c>
      <c r="Q22" s="9"/>
      <c r="R22" s="9"/>
      <c r="S22" s="9"/>
      <c r="T22" s="9"/>
    </row>
    <row r="23" spans="1:20" x14ac:dyDescent="0.2">
      <c r="A23" s="13" t="s">
        <v>29</v>
      </c>
      <c r="B23" s="13">
        <v>0</v>
      </c>
      <c r="C23" s="13">
        <f>C18+C21</f>
        <v>2</v>
      </c>
      <c r="D23" s="13">
        <f t="shared" ref="D23:P23" si="9">D18+D21</f>
        <v>4</v>
      </c>
      <c r="E23" s="13">
        <f t="shared" si="9"/>
        <v>4</v>
      </c>
      <c r="F23" s="13">
        <f t="shared" si="9"/>
        <v>4.6666666666666661</v>
      </c>
      <c r="G23" s="13">
        <f t="shared" si="9"/>
        <v>5.3333333333333321</v>
      </c>
      <c r="H23" s="13">
        <f t="shared" si="9"/>
        <v>5.3333333333333321</v>
      </c>
      <c r="I23" s="13">
        <f t="shared" si="9"/>
        <v>5.9999999999999982</v>
      </c>
      <c r="J23" s="13">
        <f t="shared" si="9"/>
        <v>6.6666666666666643</v>
      </c>
      <c r="K23" s="13">
        <f t="shared" si="9"/>
        <v>6.6666666666666643</v>
      </c>
      <c r="L23" s="13">
        <f t="shared" si="9"/>
        <v>7.3333333333333313</v>
      </c>
      <c r="M23" s="13">
        <f t="shared" si="9"/>
        <v>8.6666666666666643</v>
      </c>
      <c r="N23" s="13">
        <f t="shared" si="9"/>
        <v>9.9999999999999964</v>
      </c>
      <c r="O23" s="13">
        <f t="shared" si="9"/>
        <v>10.666666666666664</v>
      </c>
      <c r="P23" s="13">
        <f t="shared" si="9"/>
        <v>9.3333333333333321</v>
      </c>
      <c r="Q23" s="9"/>
      <c r="R23" s="9"/>
      <c r="S23" s="9"/>
      <c r="T23" s="9"/>
    </row>
    <row r="24" spans="1:20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2">
      <c r="A25" s="14" t="s">
        <v>30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f>C29</f>
        <v>1</v>
      </c>
      <c r="H25" s="14">
        <f>D29</f>
        <v>1</v>
      </c>
      <c r="I25" s="14">
        <f t="shared" ref="I25:P25" si="10">E29</f>
        <v>1</v>
      </c>
      <c r="J25" s="14">
        <f t="shared" si="10"/>
        <v>1.3333333333333333</v>
      </c>
      <c r="K25" s="14">
        <f t="shared" si="10"/>
        <v>1.3333333333333333</v>
      </c>
      <c r="L25" s="14">
        <f t="shared" si="10"/>
        <v>1.3333333333333333</v>
      </c>
      <c r="M25" s="14">
        <f t="shared" si="10"/>
        <v>1.6666666666666665</v>
      </c>
      <c r="N25" s="14">
        <f t="shared" si="10"/>
        <v>1.6666666666666665</v>
      </c>
      <c r="O25" s="14">
        <f t="shared" si="10"/>
        <v>1.333333333333333</v>
      </c>
      <c r="P25" s="14">
        <f t="shared" si="10"/>
        <v>1.333333333333333</v>
      </c>
      <c r="Q25" s="9"/>
      <c r="R25" s="9"/>
      <c r="S25" s="9"/>
      <c r="T25" s="9"/>
    </row>
    <row r="26" spans="1:20" x14ac:dyDescent="0.2">
      <c r="A26" s="12" t="s">
        <v>31</v>
      </c>
      <c r="B26" s="12"/>
      <c r="C26" s="12">
        <f>B31-C25</f>
        <v>0</v>
      </c>
      <c r="D26" s="12">
        <f t="shared" ref="D26:P26" si="11">C31-D25</f>
        <v>1</v>
      </c>
      <c r="E26" s="12">
        <f t="shared" si="11"/>
        <v>2</v>
      </c>
      <c r="F26" s="12">
        <f t="shared" si="11"/>
        <v>3</v>
      </c>
      <c r="G26" s="12">
        <f t="shared" si="11"/>
        <v>3.333333333333333</v>
      </c>
      <c r="H26" s="12">
        <f t="shared" si="11"/>
        <v>3.6666666666666661</v>
      </c>
      <c r="I26" s="12">
        <f t="shared" si="11"/>
        <v>3.9999999999999991</v>
      </c>
      <c r="J26" s="12">
        <f t="shared" si="11"/>
        <v>4.333333333333333</v>
      </c>
      <c r="K26" s="12">
        <f t="shared" si="11"/>
        <v>4.666666666666667</v>
      </c>
      <c r="L26" s="12">
        <f t="shared" si="11"/>
        <v>4.666666666666667</v>
      </c>
      <c r="M26" s="12">
        <f t="shared" si="11"/>
        <v>4.3333333333333339</v>
      </c>
      <c r="N26" s="12">
        <f t="shared" si="11"/>
        <v>4.3333333333333339</v>
      </c>
      <c r="O26" s="12">
        <f t="shared" si="11"/>
        <v>4.666666666666667</v>
      </c>
      <c r="P26" s="12">
        <f t="shared" si="11"/>
        <v>4.666666666666667</v>
      </c>
      <c r="Q26" s="9"/>
      <c r="R26" s="9"/>
      <c r="S26" s="9"/>
      <c r="T26" s="9"/>
    </row>
    <row r="27" spans="1:20" x14ac:dyDescent="0.2">
      <c r="A27" s="12" t="s">
        <v>32</v>
      </c>
      <c r="B27" s="12"/>
      <c r="C27" s="12">
        <f>$B$3-C26</f>
        <v>6</v>
      </c>
      <c r="D27" s="12">
        <f t="shared" ref="D27:P27" si="12">$B$3-D26</f>
        <v>5</v>
      </c>
      <c r="E27" s="12">
        <f t="shared" si="12"/>
        <v>4</v>
      </c>
      <c r="F27" s="12">
        <f t="shared" si="12"/>
        <v>3</v>
      </c>
      <c r="G27" s="12">
        <f t="shared" si="12"/>
        <v>2.666666666666667</v>
      </c>
      <c r="H27" s="12">
        <f t="shared" si="12"/>
        <v>2.3333333333333339</v>
      </c>
      <c r="I27" s="12">
        <f t="shared" si="12"/>
        <v>2.0000000000000009</v>
      </c>
      <c r="J27" s="12">
        <f t="shared" si="12"/>
        <v>1.666666666666667</v>
      </c>
      <c r="K27" s="12">
        <f t="shared" si="12"/>
        <v>1.333333333333333</v>
      </c>
      <c r="L27" s="12">
        <f t="shared" si="12"/>
        <v>1.333333333333333</v>
      </c>
      <c r="M27" s="12">
        <f t="shared" si="12"/>
        <v>1.6666666666666661</v>
      </c>
      <c r="N27" s="12">
        <f t="shared" si="12"/>
        <v>1.6666666666666661</v>
      </c>
      <c r="O27" s="12">
        <f t="shared" si="12"/>
        <v>1.333333333333333</v>
      </c>
      <c r="P27" s="12">
        <f t="shared" si="12"/>
        <v>1.333333333333333</v>
      </c>
      <c r="Q27" s="9"/>
      <c r="R27" s="9"/>
      <c r="S27" s="9"/>
      <c r="T27" s="9"/>
    </row>
    <row r="28" spans="1:20" x14ac:dyDescent="0.2">
      <c r="A28" s="12" t="s">
        <v>33</v>
      </c>
      <c r="B28" s="12"/>
      <c r="C28" s="12">
        <f>C15+C22</f>
        <v>1</v>
      </c>
      <c r="D28" s="12">
        <f t="shared" ref="D28:P28" si="13">D15+D22</f>
        <v>1</v>
      </c>
      <c r="E28" s="12">
        <f t="shared" si="13"/>
        <v>1</v>
      </c>
      <c r="F28" s="12">
        <f t="shared" si="13"/>
        <v>1.3333333333333333</v>
      </c>
      <c r="G28" s="12">
        <f t="shared" si="13"/>
        <v>1.3333333333333333</v>
      </c>
      <c r="H28" s="12">
        <f t="shared" si="13"/>
        <v>1.3333333333333333</v>
      </c>
      <c r="I28" s="12">
        <f t="shared" si="13"/>
        <v>1.6666666666666665</v>
      </c>
      <c r="J28" s="12">
        <f t="shared" si="13"/>
        <v>1.6666666666666665</v>
      </c>
      <c r="K28" s="12">
        <f t="shared" si="13"/>
        <v>1.6666666666666665</v>
      </c>
      <c r="L28" s="12">
        <f t="shared" si="13"/>
        <v>2</v>
      </c>
      <c r="M28" s="12">
        <f t="shared" si="13"/>
        <v>2.333333333333333</v>
      </c>
      <c r="N28" s="12">
        <f t="shared" si="13"/>
        <v>2.6666666666666665</v>
      </c>
      <c r="O28" s="12">
        <f t="shared" si="13"/>
        <v>2.6666666666666665</v>
      </c>
      <c r="P28" s="12">
        <f t="shared" si="13"/>
        <v>2</v>
      </c>
      <c r="Q28" s="9"/>
      <c r="R28" s="9"/>
      <c r="S28" s="9"/>
      <c r="T28" s="9"/>
    </row>
    <row r="29" spans="1:20" x14ac:dyDescent="0.2">
      <c r="A29" s="12" t="s">
        <v>39</v>
      </c>
      <c r="B29" s="12"/>
      <c r="C29" s="12">
        <f>MIN(C27,C28)</f>
        <v>1</v>
      </c>
      <c r="D29" s="12">
        <f t="shared" ref="D29:P29" si="14">MIN(D27,D28)</f>
        <v>1</v>
      </c>
      <c r="E29" s="12">
        <f t="shared" si="14"/>
        <v>1</v>
      </c>
      <c r="F29" s="12">
        <f t="shared" si="14"/>
        <v>1.3333333333333333</v>
      </c>
      <c r="G29" s="12">
        <f t="shared" si="14"/>
        <v>1.3333333333333333</v>
      </c>
      <c r="H29" s="12">
        <f t="shared" si="14"/>
        <v>1.3333333333333333</v>
      </c>
      <c r="I29" s="12">
        <f t="shared" si="14"/>
        <v>1.6666666666666665</v>
      </c>
      <c r="J29" s="12">
        <f t="shared" si="14"/>
        <v>1.6666666666666665</v>
      </c>
      <c r="K29" s="12">
        <f t="shared" si="14"/>
        <v>1.333333333333333</v>
      </c>
      <c r="L29" s="12">
        <f t="shared" si="14"/>
        <v>1.333333333333333</v>
      </c>
      <c r="M29" s="12">
        <f t="shared" si="14"/>
        <v>1.6666666666666661</v>
      </c>
      <c r="N29" s="12">
        <f t="shared" si="14"/>
        <v>1.6666666666666661</v>
      </c>
      <c r="O29" s="12">
        <f t="shared" si="14"/>
        <v>1.333333333333333</v>
      </c>
      <c r="P29" s="12">
        <f t="shared" si="14"/>
        <v>1.333333333333333</v>
      </c>
      <c r="Q29" s="9"/>
      <c r="R29" s="9"/>
      <c r="S29" s="9"/>
      <c r="T29" s="9"/>
    </row>
    <row r="30" spans="1:20" x14ac:dyDescent="0.2">
      <c r="A30" s="12" t="s">
        <v>34</v>
      </c>
      <c r="B30" s="12"/>
      <c r="C30" s="12">
        <f>C28-C29</f>
        <v>0</v>
      </c>
      <c r="D30" s="12">
        <f t="shared" ref="D30:P30" si="15">D28-D29</f>
        <v>0</v>
      </c>
      <c r="E30" s="12">
        <f t="shared" si="15"/>
        <v>0</v>
      </c>
      <c r="F30" s="12">
        <f t="shared" si="15"/>
        <v>0</v>
      </c>
      <c r="G30" s="12">
        <f t="shared" si="15"/>
        <v>0</v>
      </c>
      <c r="H30" s="12">
        <f t="shared" si="15"/>
        <v>0</v>
      </c>
      <c r="I30" s="12">
        <f t="shared" si="15"/>
        <v>0</v>
      </c>
      <c r="J30" s="12">
        <f t="shared" si="15"/>
        <v>0</v>
      </c>
      <c r="K30" s="12">
        <f t="shared" si="15"/>
        <v>0.33333333333333348</v>
      </c>
      <c r="L30" s="12">
        <f t="shared" si="15"/>
        <v>0.66666666666666696</v>
      </c>
      <c r="M30" s="12">
        <f t="shared" si="15"/>
        <v>0.66666666666666696</v>
      </c>
      <c r="N30" s="12">
        <f t="shared" si="15"/>
        <v>1.0000000000000004</v>
      </c>
      <c r="O30" s="12">
        <f t="shared" si="15"/>
        <v>1.3333333333333335</v>
      </c>
      <c r="P30" s="12">
        <f t="shared" si="15"/>
        <v>0.66666666666666696</v>
      </c>
      <c r="Q30" s="9"/>
      <c r="R30" s="9"/>
      <c r="S30" s="9"/>
      <c r="T30" s="9"/>
    </row>
    <row r="31" spans="1:20" x14ac:dyDescent="0.2">
      <c r="A31" s="12" t="s">
        <v>35</v>
      </c>
      <c r="B31" s="12">
        <v>0</v>
      </c>
      <c r="C31" s="12">
        <f>C26+C29</f>
        <v>1</v>
      </c>
      <c r="D31" s="12">
        <f t="shared" ref="D31:P31" si="16">D26+D29</f>
        <v>2</v>
      </c>
      <c r="E31" s="12">
        <f t="shared" si="16"/>
        <v>3</v>
      </c>
      <c r="F31" s="12">
        <f t="shared" si="16"/>
        <v>4.333333333333333</v>
      </c>
      <c r="G31" s="12">
        <f t="shared" si="16"/>
        <v>4.6666666666666661</v>
      </c>
      <c r="H31" s="12">
        <f t="shared" si="16"/>
        <v>4.9999999999999991</v>
      </c>
      <c r="I31" s="12">
        <f t="shared" si="16"/>
        <v>5.6666666666666661</v>
      </c>
      <c r="J31" s="12">
        <f t="shared" si="16"/>
        <v>6</v>
      </c>
      <c r="K31" s="12">
        <f t="shared" si="16"/>
        <v>6</v>
      </c>
      <c r="L31" s="12">
        <f t="shared" si="16"/>
        <v>6</v>
      </c>
      <c r="M31" s="12">
        <f t="shared" si="16"/>
        <v>6</v>
      </c>
      <c r="N31" s="12">
        <f t="shared" si="16"/>
        <v>6</v>
      </c>
      <c r="O31" s="12">
        <f t="shared" si="16"/>
        <v>6</v>
      </c>
      <c r="P31" s="12">
        <f t="shared" si="16"/>
        <v>6</v>
      </c>
      <c r="Q31" s="9"/>
      <c r="R31" s="9"/>
      <c r="S31" s="9"/>
      <c r="T31" s="9"/>
    </row>
    <row r="32" spans="1:20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2">
      <c r="A37" s="15" t="s">
        <v>36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2">
      <c r="A38" s="5" t="s">
        <v>37</v>
      </c>
      <c r="B38" s="16">
        <f>SUM(C30:P30)</f>
        <v>4.6666666666666687</v>
      </c>
    </row>
    <row r="39" spans="1:20" x14ac:dyDescent="0.2">
      <c r="A39" s="5" t="s">
        <v>20</v>
      </c>
      <c r="B39" s="17">
        <f>B38*B6</f>
        <v>1866.6666666666674</v>
      </c>
    </row>
    <row r="40" spans="1:20" x14ac:dyDescent="0.2">
      <c r="A40" s="12" t="s">
        <v>40</v>
      </c>
      <c r="B40" s="17">
        <f>B2*B7</f>
        <v>21600</v>
      </c>
    </row>
    <row r="41" spans="1:20" x14ac:dyDescent="0.2">
      <c r="A41" s="12" t="s">
        <v>41</v>
      </c>
      <c r="B41" s="17">
        <f>B3*B8</f>
        <v>15000</v>
      </c>
    </row>
    <row r="42" spans="1:20" x14ac:dyDescent="0.2">
      <c r="A42" s="18" t="s">
        <v>44</v>
      </c>
      <c r="B42" s="19">
        <f>SUM(B39:B41)</f>
        <v>38466.666666666672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</vt:lpstr>
      <vt:lpstr>Room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Abramsky</dc:creator>
  <cp:lastModifiedBy>Sasha Abramsky</cp:lastModifiedBy>
  <dcterms:created xsi:type="dcterms:W3CDTF">2026-08-13T15:29:01Z</dcterms:created>
  <dcterms:modified xsi:type="dcterms:W3CDTF">2026-09-18T17:56:02Z</dcterms:modified>
</cp:coreProperties>
</file>